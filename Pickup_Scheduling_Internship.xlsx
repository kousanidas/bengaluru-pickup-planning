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s" sheetId="1" state="visible" r:id="rId3"/>
    <sheet name="Summary" sheetId="2" state="visible" r:id="rId4"/>
    <sheet name="Areas" sheetId="3" state="visible" r:id="rId5"/>
    <sheet name="Pickup log" sheetId="4" state="visible" r:id="rId6"/>
    <sheet name="Runs" sheetId="5" state="visible" r:id="rId7"/>
  </sheets>
  <definedNames>
    <definedName function="false" hidden="true" localSheetId="3" name="_xlnm._FilterDatabase" vbProcedure="false">'Pickup log'!$A$1:$O$225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<sst xmlns="http://schemas.openxmlformats.org/spreadsheetml/2006/main" count="1380" uniqueCount="153">
  <si>
    <t xml:space="preserve">Pickup scheduling - fuel saving from planned pickup runs</t>
  </si>
  <si>
    <t xml:space="preserve">Internship project, small courier agent in Bengaluru (Apr-Jun 2024). Rebuilt Oct 2026.</t>
  </si>
  <si>
    <t xml:space="preserve">What I looked at</t>
  </si>
  <si>
    <t xml:space="preserve">The company sent someone out for every pickup as soon as the customer booked. I suggested grouping pickups by area into</t>
  </si>
  <si>
    <t xml:space="preserve">planned runs (one scooter run for small items and one matador run for large items per zone per day) to save fuel.</t>
  </si>
  <si>
    <t xml:space="preserve">Please read - disclaimers</t>
  </si>
  <si>
    <t xml:space="preserve">1. My original Excel from the internship was lost. This is a rebuilt version that follows the same method. It is not the original file.</t>
  </si>
  <si>
    <t xml:space="preserve">2. The pickup log is MADE UP for illustration. The real pickup records belonged to the company and are not used here.</t>
  </si>
  <si>
    <t xml:space="preserve">3. The company name and its exact location are left out. Distances are from a hub in central Bengaluru.</t>
  </si>
  <si>
    <t xml:space="preserve">4. Distances and times are my estimates from public pincode data - they still need checking on Google Maps (see the Source column in Areas).</t>
  </si>
  <si>
    <t xml:space="preserve">5. Fuel prices are public Bengaluru prices for 23 May 2024. Mileage figures are published/claimed figures - real mileage in traffic may be lower.</t>
  </si>
  <si>
    <t xml:space="preserve">6. Run km is a rule of thumb (2 x farthest stop + 2 km for every extra stop), not an actual route.</t>
  </si>
  <si>
    <t xml:space="preserve">7. Only pickup trips are counted. Drop-offs at the courier companies' collection centres are the same either way, so they are left out.</t>
  </si>
  <si>
    <t xml:space="preserve">8. Batching saves fuel but customers wait longer for pickup. That is why I show a second option where Express pickups are still done straight away.</t>
  </si>
  <si>
    <t xml:space="preserve">9. The ~10% in my CV was my rough estimate at the time. The numbers in this file come from this rebuilt version and are not company figures.</t>
  </si>
  <si>
    <t xml:space="preserve">10. I used an AI assistant (Claude) to help rebuild the formulas and make the sample pickup log. The method and inputs are mine.</t>
  </si>
  <si>
    <t xml:space="preserve">Assumptions (change the yellow cells)</t>
  </si>
  <si>
    <t xml:space="preserve">Matador mileage (km/l)</t>
  </si>
  <si>
    <t xml:space="preserve">Tata Ace Gold diesel: 16-19 km/l claimed (trucksbuses.com)</t>
  </si>
  <si>
    <t xml:space="preserve">Diesel price Rs/l</t>
  </si>
  <si>
    <t xml:space="preserve">Bengaluru, 23 May 2024 (indiainfoline.com)</t>
  </si>
  <si>
    <t xml:space="preserve">Scooter mileage (km/l)</t>
  </si>
  <si>
    <t xml:space="preserve">Honda Activa: 47-50 km/l claimed, took 45 for city traffic (91wheels.com)</t>
  </si>
  <si>
    <t xml:space="preserve">Petrol price Rs/l</t>
  </si>
  <si>
    <t xml:space="preserve">Extra km for every extra stop on a run</t>
  </si>
  <si>
    <t xml:space="preserve">my rule of thumb - still to check on a couple of Google Maps multi-stop routes</t>
  </si>
  <si>
    <t xml:space="preserve">Cut-off time for same-day pickup run</t>
  </si>
  <si>
    <t xml:space="preserve">bookings after this go on the next day's run (my assumption)</t>
  </si>
  <si>
    <t xml:space="preserve">Sources</t>
  </si>
  <si>
    <t xml:space="preserve">Pincode locations: IndiaPIN dataset (India Post data) - github.com/harshvardhaniimi/IndiaPIN</t>
  </si>
  <si>
    <t xml:space="preserve">Road km = straight line x 1.3 (Boeing 2017, arxiv.org/abs/1708.00836); time at ~20 km/h (TomTom 2024: 30 min per 10 km in Bengaluru)</t>
  </si>
  <si>
    <t xml:space="preserve">Fuel prices: indiainfoline.com, 23 May 2024.  Mileage: trucksbuses.com (Tata Ace Gold), 91wheels.com (Activa)</t>
  </si>
  <si>
    <t xml:space="preserve">Before vs after (one month, made-up pickups)</t>
  </si>
  <si>
    <t xml:space="preserve">Before (go for every booking)</t>
  </si>
  <si>
    <t xml:space="preserve">Option 1: all pickups on runs</t>
  </si>
  <si>
    <t xml:space="preserve">Option 2: runs + Express straight away</t>
  </si>
  <si>
    <t xml:space="preserve">Pickups in the month</t>
  </si>
  <si>
    <t xml:space="preserve">Trips / runs</t>
  </si>
  <si>
    <t xml:space="preserve">Km in the month</t>
  </si>
  <si>
    <t xml:space="preserve">Fuel cost in the month (Rs)</t>
  </si>
  <si>
    <t xml:space="preserve">Saving in fuel vs before</t>
  </si>
  <si>
    <t xml:space="preserve">Saving in km vs before</t>
  </si>
  <si>
    <t xml:space="preserve">Pickups picked up on the day they were booked</t>
  </si>
  <si>
    <t xml:space="preserve">Note: Option 1 saves the most fuel but most afternoon bookings wait till the next day.</t>
  </si>
  <si>
    <t xml:space="preserve">Option 2 keeps Express pickups same-day (customers pay for speed), so it saves less.</t>
  </si>
  <si>
    <t xml:space="preserve">Before: I assumed every booking was picked up the same day (the crew went straight away).</t>
  </si>
  <si>
    <t xml:space="preserve">If a run needs 4 km for every extra stop instead of 2, the fuel saving drops to about 16% (Option 1) and 6% (Option 2).</t>
  </si>
  <si>
    <t xml:space="preserve">Only pickups counted (drop-offs at courier centres are the same in all three). Made-up data - see Notes.</t>
  </si>
  <si>
    <t xml:space="preserve">Area</t>
  </si>
  <si>
    <t xml:space="preserve">Pincode</t>
  </si>
  <si>
    <t xml:space="preserve">Zone</t>
  </si>
  <si>
    <t xml:space="preserve">Km from hub (one way)</t>
  </si>
  <si>
    <t xml:space="preserve">Mins (one way)</t>
  </si>
  <si>
    <t xml:space="preserve">Source</t>
  </si>
  <si>
    <t xml:space="preserve">Chamarajpet</t>
  </si>
  <si>
    <t xml:space="preserve">560018</t>
  </si>
  <si>
    <t xml:space="preserve">Central</t>
  </si>
  <si>
    <t xml:space="preserve">estimate - check on Google Maps</t>
  </si>
  <si>
    <t xml:space="preserve">Basavanagudi</t>
  </si>
  <si>
    <t xml:space="preserve">560004</t>
  </si>
  <si>
    <t xml:space="preserve">Chickpet</t>
  </si>
  <si>
    <t xml:space="preserve">560053</t>
  </si>
  <si>
    <t xml:space="preserve">KR Market</t>
  </si>
  <si>
    <t xml:space="preserve">560002</t>
  </si>
  <si>
    <t xml:space="preserve">Gandhinagar</t>
  </si>
  <si>
    <t xml:space="preserve">560009</t>
  </si>
  <si>
    <t xml:space="preserve">Shivajinagar</t>
  </si>
  <si>
    <t xml:space="preserve">560051</t>
  </si>
  <si>
    <t xml:space="preserve">rough guess - check on Google Maps</t>
  </si>
  <si>
    <t xml:space="preserve">MG Road</t>
  </si>
  <si>
    <t xml:space="preserve">560001</t>
  </si>
  <si>
    <t xml:space="preserve">Jayanagar</t>
  </si>
  <si>
    <t xml:space="preserve">560011</t>
  </si>
  <si>
    <t xml:space="preserve">South</t>
  </si>
  <si>
    <t xml:space="preserve">Banashankari</t>
  </si>
  <si>
    <t xml:space="preserve">560050</t>
  </si>
  <si>
    <t xml:space="preserve">JP Nagar</t>
  </si>
  <si>
    <t xml:space="preserve">560078</t>
  </si>
  <si>
    <t xml:space="preserve">BTM Layout</t>
  </si>
  <si>
    <t xml:space="preserve">560076</t>
  </si>
  <si>
    <t xml:space="preserve">Koramangala</t>
  </si>
  <si>
    <t xml:space="preserve">560034</t>
  </si>
  <si>
    <t xml:space="preserve">HSR Layout</t>
  </si>
  <si>
    <t xml:space="preserve">560102</t>
  </si>
  <si>
    <t xml:space="preserve">Bommanahalli</t>
  </si>
  <si>
    <t xml:space="preserve">560068</t>
  </si>
  <si>
    <t xml:space="preserve">Electronic City</t>
  </si>
  <si>
    <t xml:space="preserve">560100</t>
  </si>
  <si>
    <t xml:space="preserve">Rajajinagar</t>
  </si>
  <si>
    <t xml:space="preserve">560010</t>
  </si>
  <si>
    <t xml:space="preserve">West</t>
  </si>
  <si>
    <t xml:space="preserve">Vijayanagar</t>
  </si>
  <si>
    <t xml:space="preserve">560040</t>
  </si>
  <si>
    <t xml:space="preserve">Basaveshwaranagar</t>
  </si>
  <si>
    <t xml:space="preserve">560079</t>
  </si>
  <si>
    <t xml:space="preserve">RR Nagar</t>
  </si>
  <si>
    <t xml:space="preserve">560098</t>
  </si>
  <si>
    <t xml:space="preserve">Kengeri</t>
  </si>
  <si>
    <t xml:space="preserve">560060</t>
  </si>
  <si>
    <t xml:space="preserve">Malleshwaram</t>
  </si>
  <si>
    <t xml:space="preserve">560003</t>
  </si>
  <si>
    <t xml:space="preserve">North</t>
  </si>
  <si>
    <t xml:space="preserve">Yeshwanthpur</t>
  </si>
  <si>
    <t xml:space="preserve">560022</t>
  </si>
  <si>
    <t xml:space="preserve">Peenya</t>
  </si>
  <si>
    <t xml:space="preserve">560058</t>
  </si>
  <si>
    <t xml:space="preserve">RT Nagar</t>
  </si>
  <si>
    <t xml:space="preserve">560032</t>
  </si>
  <si>
    <t xml:space="preserve">Hebbal</t>
  </si>
  <si>
    <t xml:space="preserve">560024</t>
  </si>
  <si>
    <t xml:space="preserve">Yelahanka</t>
  </si>
  <si>
    <t xml:space="preserve">560064</t>
  </si>
  <si>
    <t xml:space="preserve">Indiranagar</t>
  </si>
  <si>
    <t xml:space="preserve">560038</t>
  </si>
  <si>
    <t xml:space="preserve">East</t>
  </si>
  <si>
    <t xml:space="preserve">Banaswadi</t>
  </si>
  <si>
    <t xml:space="preserve">560043</t>
  </si>
  <si>
    <t xml:space="preserve">KR Puram</t>
  </si>
  <si>
    <t xml:space="preserve">560036</t>
  </si>
  <si>
    <t xml:space="preserve">Marathahalli</t>
  </si>
  <si>
    <t xml:space="preserve">560037</t>
  </si>
  <si>
    <t xml:space="preserve">Whitefield</t>
  </si>
  <si>
    <t xml:space="preserve">560066</t>
  </si>
  <si>
    <t xml:space="preserve">TODO: replace km and mins with Google Maps (from hub, weekday afternoon) and change Source to 'Google Maps'</t>
  </si>
  <si>
    <t xml:space="preserve">Date</t>
  </si>
  <si>
    <t xml:space="preserve">Time</t>
  </si>
  <si>
    <t xml:space="preserve">Service</t>
  </si>
  <si>
    <t xml:space="preserve">Size</t>
  </si>
  <si>
    <t xml:space="preserve">Vehicle</t>
  </si>
  <si>
    <t xml:space="preserve">Km one way</t>
  </si>
  <si>
    <t xml:space="preserve">BEFORE trip km</t>
  </si>
  <si>
    <t xml:space="preserve">BEFORE fuel Rs</t>
  </si>
  <si>
    <t xml:space="preserve">Run date</t>
  </si>
  <si>
    <t xml:space="preserve">Same day?</t>
  </si>
  <si>
    <t xml:space="preserve">Opt 2: on run?</t>
  </si>
  <si>
    <t xml:space="preserve">Opt 2: on-call trip km</t>
  </si>
  <si>
    <t xml:space="preserve">Opt 2: on-call fuel Rs</t>
  </si>
  <si>
    <t xml:space="preserve">Economy</t>
  </si>
  <si>
    <t xml:space="preserve">Small</t>
  </si>
  <si>
    <t xml:space="preserve">Express</t>
  </si>
  <si>
    <t xml:space="preserve">Large</t>
  </si>
  <si>
    <t xml:space="preserve">MADE-UP DATA for illustration (4 weeks, Mon-Sat). Real pickup records are not used.</t>
  </si>
  <si>
    <t xml:space="preserve">Opt 1: pickups</t>
  </si>
  <si>
    <t xml:space="preserve">Opt 1: farthest km</t>
  </si>
  <si>
    <t xml:space="preserve">Opt 1: run km</t>
  </si>
  <si>
    <t xml:space="preserve">Opt 1: fuel Rs</t>
  </si>
  <si>
    <t xml:space="preserve">Opt 2: pickups (Economy)</t>
  </si>
  <si>
    <t xml:space="preserve">Opt 2: farthest km</t>
  </si>
  <si>
    <t xml:space="preserve">Opt 2: run km</t>
  </si>
  <si>
    <t xml:space="preserve">Opt 2: fuel Rs</t>
  </si>
  <si>
    <t xml:space="preserve">Scooter</t>
  </si>
  <si>
    <t xml:space="preserve">Matador</t>
  </si>
  <si>
    <t xml:space="preserve">Runs only happen if there is at least one pickup. Bookings after the cut-off time join the next day's run (3 Jun has Saturday's late bookings).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</si>
</sst>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:mm\ AM/PM"/>
    <numFmt numFmtId="166" formatCode="0"/>
    <numFmt numFmtId="167" formatCode="#,##0"/>
    <numFmt numFmtId="168" formatCode="0%"/>
    <numFmt numFmtId="169" formatCode="dd\-mmm\-yy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C00000"/>
      <name val="Calibri"/>
      <family val="0"/>
      <charset val="1"/>
    </font>
    <font>
      <b val="true"/>
      <sz val="11"/>
      <color rgb="FFC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Fuel cost in the month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Summary!$B$3:$D$3</c:f>
              <c:strCache>
                <c:ptCount val="3"/>
                <c:pt idx="0">
                  <c:v>Before (go for every booking)</c:v>
                </c:pt>
                <c:pt idx="1">
                  <c:v>Option 1: all pickups on runs</c:v>
                </c:pt>
                <c:pt idx="2">
                  <c:v>Option 2: runs + Express straight away</c:v>
                </c:pt>
              </c:strCache>
            </c:strRef>
          </c:cat>
          <c:val>
            <c:numRef>
              <c:f>Summary!$B$7:$D$7</c:f>
              <c:numCache>
                <c:formatCode>#,##0</c:formatCode>
                <c:ptCount val="3"/>
                <c:pt idx="0">
                  <c:v>10239.7598333333</c:v>
                </c:pt>
                <c:pt idx="1">
                  <c:v>8023.530125</c:v>
                </c:pt>
                <c:pt idx="2">
                  <c:v>9417.86408333333</c:v>
                </c:pt>
              </c:numCache>
            </c:numRef>
          </c:val>
        </c:ser>
        <c:gapWidth val="150"/>
        <c:overlap val="0"/>
        <c:axId val="64074810"/>
        <c:axId val="2919387"/>
      </c:barChart>
      <c:catAx>
        <c:axId val="64074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9387"/>
        <c:crosses val="autoZero"/>
        <c:auto val="1"/>
        <c:lblAlgn val="ctr"/>
        <c:lblOffset val="100"/>
        <c:noMultiLvlLbl val="0"/>
      </c:catAx>
      <c:valAx>
        <c:axId val="2919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74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13</xdr:col>
      <xdr:colOff>147600</xdr:colOff>
      <xdr:row>14</xdr:row>
      <xdr:rowOff>49320</xdr:rowOff>
    </xdr:to>
    <xdr:graphicFrame>
      <xdr:nvGraphicFramePr>
        <xdr:cNvPr id="0" name="Chart 1"/>
        <xdr:cNvGraphicFramePr/>
      </xdr:nvGraphicFramePr>
      <xdr:xfrm>
        <a:off x="766008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  <c r="B21" s="4" t="n">
        <v>16</v>
      </c>
      <c r="C21" s="5" t="s">
        <v>18</v>
      </c>
    </row>
    <row r="22" customFormat="false" ht="15" hidden="false" customHeight="false" outlineLevel="0" collapsed="false">
      <c r="A22" s="2" t="s">
        <v>19</v>
      </c>
      <c r="B22" s="4" t="n">
        <v>85.93</v>
      </c>
      <c r="C22" s="5" t="s">
        <v>20</v>
      </c>
    </row>
    <row r="23" customFormat="false" ht="15" hidden="false" customHeight="false" outlineLevel="0" collapsed="false">
      <c r="A23" s="2" t="s">
        <v>21</v>
      </c>
      <c r="B23" s="4" t="n">
        <v>45</v>
      </c>
      <c r="C23" s="5" t="s">
        <v>22</v>
      </c>
    </row>
    <row r="24" customFormat="false" ht="15" hidden="false" customHeight="false" outlineLevel="0" collapsed="false">
      <c r="A24" s="2" t="s">
        <v>23</v>
      </c>
      <c r="B24" s="4" t="n">
        <v>99.84</v>
      </c>
      <c r="C24" s="5" t="s">
        <v>20</v>
      </c>
    </row>
    <row r="25" customFormat="false" ht="15" hidden="false" customHeight="false" outlineLevel="0" collapsed="false">
      <c r="A25" s="2" t="s">
        <v>24</v>
      </c>
      <c r="B25" s="4" t="n">
        <v>2</v>
      </c>
      <c r="C25" s="5" t="s">
        <v>25</v>
      </c>
    </row>
    <row r="26" customFormat="false" ht="15" hidden="false" customHeight="false" outlineLevel="0" collapsed="false">
      <c r="A26" s="2" t="s">
        <v>26</v>
      </c>
      <c r="B26" s="6" t="n">
        <v>0.541666666666667</v>
      </c>
      <c r="C26" s="5" t="s">
        <v>27</v>
      </c>
    </row>
    <row r="28" customFormat="false" ht="15" hidden="false" customHeight="false" outlineLevel="0" collapsed="false">
      <c r="A28" s="3" t="s">
        <v>28</v>
      </c>
    </row>
    <row r="29" customFormat="false" ht="15" hidden="false" customHeight="false" outlineLevel="0" collapsed="false">
      <c r="A29" s="5" t="s">
        <v>29</v>
      </c>
    </row>
    <row r="30" customFormat="false" ht="15" hidden="false" customHeight="false" outlineLevel="0" collapsed="false">
      <c r="A30" s="5" t="s">
        <v>30</v>
      </c>
    </row>
    <row r="31" customFormat="false" ht="15" hidden="false" customHeight="false" outlineLevel="0" collapsed="false">
      <c r="A31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16.15" hidden="false" customHeight="false" outlineLevel="0" collapsed="false">
      <c r="A1" s="1" t="s">
        <v>32</v>
      </c>
    </row>
    <row r="3" customFormat="false" ht="28.35" hidden="false" customHeight="false" outlineLevel="0" collapsed="false">
      <c r="A3" s="7"/>
      <c r="B3" s="7" t="s">
        <v>33</v>
      </c>
      <c r="C3" s="7" t="s">
        <v>34</v>
      </c>
      <c r="D3" s="7" t="s">
        <v>35</v>
      </c>
    </row>
    <row r="4" customFormat="false" ht="15" hidden="false" customHeight="false" outlineLevel="0" collapsed="false">
      <c r="A4" s="2" t="s">
        <v>36</v>
      </c>
      <c r="B4" s="8" t="n">
        <f aca="false">COUNT('Pickup log'!$A$2:$A$225)</f>
        <v>224</v>
      </c>
      <c r="C4" s="8" t="n">
        <f aca="false">COUNT('Pickup log'!$A$2:$A$225)</f>
        <v>224</v>
      </c>
      <c r="D4" s="8" t="n">
        <f aca="false">COUNT('Pickup log'!$A$2:$A$225)</f>
        <v>224</v>
      </c>
    </row>
    <row r="5" customFormat="false" ht="15" hidden="false" customHeight="false" outlineLevel="0" collapsed="false">
      <c r="A5" s="2" t="s">
        <v>37</v>
      </c>
      <c r="B5" s="8" t="n">
        <f aca="false">COUNT('Pickup log'!$A$2:$A$225)</f>
        <v>224</v>
      </c>
      <c r="C5" s="8" t="n">
        <f aca="false">COUNTIF(Runs!$D$2:$D$251,"&gt;0")</f>
        <v>132</v>
      </c>
      <c r="D5" s="8" t="n">
        <f aca="false">COUNTIF(Runs!$H$2:$H$251,"&gt;0")+COUNTIF('Pickup log'!$M$2:$M$225,"No")</f>
        <v>184</v>
      </c>
    </row>
    <row r="6" customFormat="false" ht="15" hidden="false" customHeight="false" outlineLevel="0" collapsed="false">
      <c r="A6" s="2" t="s">
        <v>38</v>
      </c>
      <c r="B6" s="9" t="n">
        <f aca="false">SUM('Pickup log'!$I$2:$I$225)</f>
        <v>2973</v>
      </c>
      <c r="C6" s="9" t="n">
        <f aca="false">SUM(Runs!$F$2:$F$251)</f>
        <v>2325</v>
      </c>
      <c r="D6" s="9" t="n">
        <f aca="false">SUM(Runs!$J$2:$J$251)+SUM('Pickup log'!$N$2:$N$225)</f>
        <v>2702</v>
      </c>
    </row>
    <row r="7" customFormat="false" ht="15" hidden="false" customHeight="false" outlineLevel="0" collapsed="false">
      <c r="A7" s="2" t="s">
        <v>39</v>
      </c>
      <c r="B7" s="9" t="n">
        <f aca="false">SUM('Pickup log'!$J$2:$J$225)</f>
        <v>10239.7598333333</v>
      </c>
      <c r="C7" s="9" t="n">
        <f aca="false">SUM(Runs!$G$2:$G$251)</f>
        <v>8023.530125</v>
      </c>
      <c r="D7" s="9" t="n">
        <f aca="false">SUM(Runs!$K$2:$K$251)+SUM('Pickup log'!$O$2:$O$225)</f>
        <v>9417.86408333333</v>
      </c>
    </row>
    <row r="8" customFormat="false" ht="15" hidden="false" customHeight="false" outlineLevel="0" collapsed="false">
      <c r="A8" s="2" t="s">
        <v>40</v>
      </c>
      <c r="B8" s="10"/>
      <c r="C8" s="10" t="n">
        <f aca="false">1-C7/B7</f>
        <v>0.21643375864333</v>
      </c>
      <c r="D8" s="10" t="n">
        <f aca="false">1-D7/B7</f>
        <v>0.0802651393565399</v>
      </c>
    </row>
    <row r="9" customFormat="false" ht="15" hidden="false" customHeight="false" outlineLevel="0" collapsed="false">
      <c r="A9" s="2" t="s">
        <v>41</v>
      </c>
      <c r="B9" s="10"/>
      <c r="C9" s="10" t="n">
        <f aca="false">1-C6/B6</f>
        <v>0.217961654894046</v>
      </c>
      <c r="D9" s="10" t="n">
        <f aca="false">1-D6/B6</f>
        <v>0.0911537167843929</v>
      </c>
    </row>
    <row r="10" customFormat="false" ht="15" hidden="false" customHeight="false" outlineLevel="0" collapsed="false">
      <c r="A10" s="2" t="s">
        <v>42</v>
      </c>
      <c r="B10" s="10" t="n">
        <f aca="false">1</f>
        <v>1</v>
      </c>
      <c r="C10" s="10" t="n">
        <f aca="false">COUNTIF('Pickup log'!$L$2:$L$225,"Yes")/C4</f>
        <v>0.383928571428571</v>
      </c>
      <c r="D10" s="10" t="n">
        <f aca="false">(COUNTIF('Pickup log'!$E$2:$E$225,"Express")+COUNTIFS('Pickup log'!$E$2:$E$225,"Economy",'Pickup log'!$L$2:$L$225,"Yes"))/D4</f>
        <v>0.638392857142857</v>
      </c>
    </row>
    <row r="12" customFormat="false" ht="15" hidden="false" customHeight="false" outlineLevel="0" collapsed="false">
      <c r="A12" s="5" t="s">
        <v>43</v>
      </c>
    </row>
    <row r="13" customFormat="false" ht="15" hidden="false" customHeight="false" outlineLevel="0" collapsed="false">
      <c r="A13" s="5" t="s">
        <v>44</v>
      </c>
    </row>
    <row r="14" customFormat="false" ht="15" hidden="false" customHeight="false" outlineLevel="0" collapsed="false">
      <c r="A14" s="5" t="s">
        <v>45</v>
      </c>
    </row>
    <row r="15" customFormat="false" ht="15" hidden="false" customHeight="false" outlineLevel="0" collapsed="false">
      <c r="A15" s="5" t="s">
        <v>46</v>
      </c>
    </row>
    <row r="16" customFormat="false" ht="15" hidden="false" customHeight="false" outlineLevel="0" collapsed="false">
      <c r="A16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28.35" hidden="false" customHeight="false" outlineLevel="0" collapsed="false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</row>
    <row r="2" customFormat="false" ht="15" hidden="false" customHeight="false" outlineLevel="0" collapsed="false">
      <c r="A2" s="2" t="s">
        <v>54</v>
      </c>
      <c r="B2" s="2" t="s">
        <v>55</v>
      </c>
      <c r="C2" s="2" t="s">
        <v>56</v>
      </c>
      <c r="D2" s="2" t="n">
        <v>1</v>
      </c>
      <c r="E2" s="2" t="n">
        <v>8</v>
      </c>
      <c r="F2" s="2" t="s">
        <v>57</v>
      </c>
    </row>
    <row r="3" customFormat="false" ht="15" hidden="false" customHeight="false" outlineLevel="0" collapsed="false">
      <c r="A3" s="2" t="s">
        <v>58</v>
      </c>
      <c r="B3" s="2" t="s">
        <v>59</v>
      </c>
      <c r="C3" s="2" t="s">
        <v>56</v>
      </c>
      <c r="D3" s="2" t="n">
        <v>2</v>
      </c>
      <c r="E3" s="2" t="n">
        <v>11</v>
      </c>
      <c r="F3" s="2" t="s">
        <v>57</v>
      </c>
    </row>
    <row r="4" customFormat="false" ht="15" hidden="false" customHeight="false" outlineLevel="0" collapsed="false">
      <c r="A4" s="2" t="s">
        <v>60</v>
      </c>
      <c r="B4" s="2" t="s">
        <v>61</v>
      </c>
      <c r="C4" s="2" t="s">
        <v>56</v>
      </c>
      <c r="D4" s="2" t="n">
        <v>2</v>
      </c>
      <c r="E4" s="2" t="n">
        <v>11</v>
      </c>
      <c r="F4" s="2" t="s">
        <v>57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56</v>
      </c>
      <c r="D5" s="2" t="n">
        <v>3.5</v>
      </c>
      <c r="E5" s="2" t="n">
        <v>15</v>
      </c>
      <c r="F5" s="2" t="s">
        <v>57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56</v>
      </c>
      <c r="D6" s="2" t="n">
        <v>3</v>
      </c>
      <c r="E6" s="2" t="n">
        <v>15</v>
      </c>
      <c r="F6" s="2" t="s">
        <v>57</v>
      </c>
    </row>
    <row r="7" customFormat="false" ht="15" hidden="false" customHeight="false" outlineLevel="0" collapsed="false">
      <c r="A7" s="2" t="s">
        <v>66</v>
      </c>
      <c r="B7" s="2" t="s">
        <v>67</v>
      </c>
      <c r="C7" s="2" t="s">
        <v>56</v>
      </c>
      <c r="D7" s="2" t="n">
        <v>6</v>
      </c>
      <c r="E7" s="2" t="n">
        <v>24</v>
      </c>
      <c r="F7" s="2" t="s">
        <v>68</v>
      </c>
    </row>
    <row r="8" customFormat="false" ht="15" hidden="false" customHeight="false" outlineLevel="0" collapsed="false">
      <c r="A8" s="2" t="s">
        <v>69</v>
      </c>
      <c r="B8" s="2" t="s">
        <v>70</v>
      </c>
      <c r="C8" s="2" t="s">
        <v>56</v>
      </c>
      <c r="D8" s="2" t="n">
        <v>4.5</v>
      </c>
      <c r="E8" s="2" t="n">
        <v>19</v>
      </c>
      <c r="F8" s="2" t="s">
        <v>57</v>
      </c>
    </row>
    <row r="9" customFormat="false" ht="15" hidden="false" customHeight="false" outlineLevel="0" collapsed="false">
      <c r="A9" s="2" t="s">
        <v>71</v>
      </c>
      <c r="B9" s="2" t="s">
        <v>72</v>
      </c>
      <c r="C9" s="2" t="s">
        <v>73</v>
      </c>
      <c r="D9" s="2" t="n">
        <v>4.5</v>
      </c>
      <c r="E9" s="2" t="n">
        <v>18</v>
      </c>
      <c r="F9" s="2" t="s">
        <v>57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2" t="s">
        <v>73</v>
      </c>
      <c r="D10" s="2" t="n">
        <v>2.5</v>
      </c>
      <c r="E10" s="2" t="n">
        <v>12</v>
      </c>
      <c r="F10" s="2" t="s">
        <v>57</v>
      </c>
    </row>
    <row r="11" customFormat="false" ht="15" hidden="false" customHeight="false" outlineLevel="0" collapsed="false">
      <c r="A11" s="2" t="s">
        <v>76</v>
      </c>
      <c r="B11" s="2" t="s">
        <v>77</v>
      </c>
      <c r="C11" s="2" t="s">
        <v>73</v>
      </c>
      <c r="D11" s="2" t="n">
        <v>7</v>
      </c>
      <c r="E11" s="2" t="n">
        <v>26</v>
      </c>
      <c r="F11" s="2" t="s">
        <v>57</v>
      </c>
    </row>
    <row r="12" customFormat="false" ht="15" hidden="false" customHeight="false" outlineLevel="0" collapsed="false">
      <c r="A12" s="2" t="s">
        <v>78</v>
      </c>
      <c r="B12" s="2" t="s">
        <v>79</v>
      </c>
      <c r="C12" s="2" t="s">
        <v>73</v>
      </c>
      <c r="D12" s="2" t="n">
        <v>9</v>
      </c>
      <c r="E12" s="2" t="n">
        <v>32</v>
      </c>
      <c r="F12" s="2" t="s">
        <v>57</v>
      </c>
    </row>
    <row r="13" customFormat="false" ht="15" hidden="false" customHeight="false" outlineLevel="0" collapsed="false">
      <c r="A13" s="2" t="s">
        <v>80</v>
      </c>
      <c r="B13" s="2" t="s">
        <v>81</v>
      </c>
      <c r="C13" s="2" t="s">
        <v>73</v>
      </c>
      <c r="D13" s="2" t="n">
        <v>9.5</v>
      </c>
      <c r="E13" s="2" t="n">
        <v>34</v>
      </c>
      <c r="F13" s="2" t="s">
        <v>57</v>
      </c>
    </row>
    <row r="14" customFormat="false" ht="15" hidden="false" customHeight="false" outlineLevel="0" collapsed="false">
      <c r="A14" s="2" t="s">
        <v>82</v>
      </c>
      <c r="B14" s="2" t="s">
        <v>83</v>
      </c>
      <c r="C14" s="2" t="s">
        <v>73</v>
      </c>
      <c r="D14" s="2" t="n">
        <v>11.5</v>
      </c>
      <c r="E14" s="2" t="n">
        <v>40</v>
      </c>
      <c r="F14" s="2" t="s">
        <v>57</v>
      </c>
    </row>
    <row r="15" customFormat="false" ht="15" hidden="false" customHeight="false" outlineLevel="0" collapsed="false">
      <c r="A15" s="2" t="s">
        <v>84</v>
      </c>
      <c r="B15" s="2" t="s">
        <v>85</v>
      </c>
      <c r="C15" s="2" t="s">
        <v>73</v>
      </c>
      <c r="D15" s="2" t="n">
        <v>11.5</v>
      </c>
      <c r="E15" s="2" t="n">
        <v>40</v>
      </c>
      <c r="F15" s="2" t="s">
        <v>57</v>
      </c>
    </row>
    <row r="16" customFormat="false" ht="15" hidden="false" customHeight="false" outlineLevel="0" collapsed="false">
      <c r="A16" s="2" t="s">
        <v>86</v>
      </c>
      <c r="B16" s="2" t="s">
        <v>87</v>
      </c>
      <c r="C16" s="2" t="s">
        <v>73</v>
      </c>
      <c r="D16" s="2" t="n">
        <v>21.5</v>
      </c>
      <c r="E16" s="2" t="n">
        <v>70</v>
      </c>
      <c r="F16" s="2" t="s">
        <v>57</v>
      </c>
    </row>
    <row r="17" customFormat="false" ht="15" hidden="false" customHeight="false" outlineLevel="0" collapsed="false">
      <c r="A17" s="2" t="s">
        <v>88</v>
      </c>
      <c r="B17" s="2" t="s">
        <v>89</v>
      </c>
      <c r="C17" s="2" t="s">
        <v>90</v>
      </c>
      <c r="D17" s="2" t="n">
        <v>5.5</v>
      </c>
      <c r="E17" s="2" t="n">
        <v>22</v>
      </c>
      <c r="F17" s="2" t="s">
        <v>57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90</v>
      </c>
      <c r="D18" s="2" t="n">
        <v>4.5</v>
      </c>
      <c r="E18" s="2" t="n">
        <v>19</v>
      </c>
      <c r="F18" s="2" t="s">
        <v>57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90</v>
      </c>
      <c r="D19" s="2" t="n">
        <v>6.5</v>
      </c>
      <c r="E19" s="2" t="n">
        <v>25</v>
      </c>
      <c r="F19" s="2" t="s">
        <v>57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90</v>
      </c>
      <c r="D20" s="2" t="n">
        <v>9</v>
      </c>
      <c r="E20" s="2" t="n">
        <v>32</v>
      </c>
      <c r="F20" s="2" t="s">
        <v>57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90</v>
      </c>
      <c r="D21" s="2" t="n">
        <v>13.5</v>
      </c>
      <c r="E21" s="2" t="n">
        <v>45</v>
      </c>
      <c r="F21" s="2" t="s">
        <v>57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n">
        <v>6.5</v>
      </c>
      <c r="E22" s="2" t="n">
        <v>24</v>
      </c>
      <c r="F22" s="2" t="s">
        <v>57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101</v>
      </c>
      <c r="D23" s="2" t="n">
        <v>11</v>
      </c>
      <c r="E23" s="2" t="n">
        <v>38</v>
      </c>
      <c r="F23" s="2" t="s">
        <v>57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101</v>
      </c>
      <c r="D24" s="2" t="n">
        <v>12.5</v>
      </c>
      <c r="E24" s="2" t="n">
        <v>43</v>
      </c>
      <c r="F24" s="2" t="s">
        <v>57</v>
      </c>
    </row>
    <row r="25" customFormat="false" ht="15" hidden="false" customHeight="false" outlineLevel="0" collapsed="false">
      <c r="A25" s="2" t="s">
        <v>106</v>
      </c>
      <c r="B25" s="2" t="s">
        <v>107</v>
      </c>
      <c r="C25" s="2" t="s">
        <v>101</v>
      </c>
      <c r="D25" s="2" t="n">
        <v>10.5</v>
      </c>
      <c r="E25" s="2" t="n">
        <v>36</v>
      </c>
      <c r="F25" s="2" t="s">
        <v>57</v>
      </c>
    </row>
    <row r="26" customFormat="false" ht="15" hidden="false" customHeight="false" outlineLevel="0" collapsed="false">
      <c r="A26" s="2" t="s">
        <v>108</v>
      </c>
      <c r="B26" s="2" t="s">
        <v>109</v>
      </c>
      <c r="C26" s="2" t="s">
        <v>101</v>
      </c>
      <c r="D26" s="2" t="n">
        <v>14.5</v>
      </c>
      <c r="E26" s="2" t="n">
        <v>49</v>
      </c>
      <c r="F26" s="2" t="s">
        <v>57</v>
      </c>
    </row>
    <row r="27" customFormat="false" ht="15" hidden="false" customHeight="false" outlineLevel="0" collapsed="false">
      <c r="A27" s="2" t="s">
        <v>110</v>
      </c>
      <c r="B27" s="2" t="s">
        <v>111</v>
      </c>
      <c r="C27" s="2" t="s">
        <v>101</v>
      </c>
      <c r="D27" s="2" t="n">
        <v>19</v>
      </c>
      <c r="E27" s="2" t="n">
        <v>62</v>
      </c>
      <c r="F27" s="2" t="s">
        <v>57</v>
      </c>
    </row>
    <row r="28" customFormat="false" ht="15" hidden="false" customHeight="false" outlineLevel="0" collapsed="false">
      <c r="A28" s="2" t="s">
        <v>112</v>
      </c>
      <c r="B28" s="2" t="s">
        <v>113</v>
      </c>
      <c r="C28" s="2" t="s">
        <v>114</v>
      </c>
      <c r="D28" s="2" t="n">
        <v>10</v>
      </c>
      <c r="E28" s="2" t="n">
        <v>37</v>
      </c>
      <c r="F28" s="2" t="s">
        <v>68</v>
      </c>
    </row>
    <row r="29" customFormat="false" ht="15" hidden="false" customHeight="false" outlineLevel="0" collapsed="false">
      <c r="A29" s="2" t="s">
        <v>115</v>
      </c>
      <c r="B29" s="2" t="s">
        <v>116</v>
      </c>
      <c r="C29" s="2" t="s">
        <v>114</v>
      </c>
      <c r="D29" s="2" t="n">
        <v>14.5</v>
      </c>
      <c r="E29" s="2" t="n">
        <v>49</v>
      </c>
      <c r="F29" s="2" t="s">
        <v>57</v>
      </c>
    </row>
    <row r="30" customFormat="false" ht="15" hidden="false" customHeight="false" outlineLevel="0" collapsed="false">
      <c r="A30" s="2" t="s">
        <v>117</v>
      </c>
      <c r="B30" s="2" t="s">
        <v>118</v>
      </c>
      <c r="C30" s="2" t="s">
        <v>114</v>
      </c>
      <c r="D30" s="2" t="n">
        <v>19.5</v>
      </c>
      <c r="E30" s="2" t="n">
        <v>64</v>
      </c>
      <c r="F30" s="2" t="s">
        <v>57</v>
      </c>
    </row>
    <row r="31" customFormat="false" ht="15" hidden="false" customHeight="false" outlineLevel="0" collapsed="false">
      <c r="A31" s="2" t="s">
        <v>119</v>
      </c>
      <c r="B31" s="2" t="s">
        <v>120</v>
      </c>
      <c r="C31" s="2" t="s">
        <v>114</v>
      </c>
      <c r="D31" s="2" t="n">
        <v>18</v>
      </c>
      <c r="E31" s="2" t="n">
        <v>60</v>
      </c>
      <c r="F31" s="2" t="s">
        <v>57</v>
      </c>
    </row>
    <row r="32" customFormat="false" ht="15" hidden="false" customHeight="false" outlineLevel="0" collapsed="false">
      <c r="A32" s="2" t="s">
        <v>121</v>
      </c>
      <c r="B32" s="2" t="s">
        <v>122</v>
      </c>
      <c r="C32" s="2" t="s">
        <v>114</v>
      </c>
      <c r="D32" s="2" t="n">
        <v>24</v>
      </c>
      <c r="E32" s="2" t="n">
        <v>77</v>
      </c>
      <c r="F32" s="2" t="s">
        <v>57</v>
      </c>
    </row>
    <row r="34" customFormat="false" ht="15" hidden="false" customHeight="false" outlineLevel="0" collapsed="false">
      <c r="A34" s="1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10" min="7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10"/>
  </cols>
  <sheetData>
    <row r="1" customFormat="false" ht="55.2" hidden="false" customHeight="false" outlineLevel="0" collapsed="false">
      <c r="A1" s="7" t="s">
        <v>124</v>
      </c>
      <c r="B1" s="7" t="s">
        <v>125</v>
      </c>
      <c r="C1" s="7" t="s">
        <v>48</v>
      </c>
      <c r="D1" s="7" t="s">
        <v>50</v>
      </c>
      <c r="E1" s="7" t="s">
        <v>126</v>
      </c>
      <c r="F1" s="7" t="s">
        <v>127</v>
      </c>
      <c r="G1" s="7" t="s">
        <v>128</v>
      </c>
      <c r="H1" s="7" t="s">
        <v>129</v>
      </c>
      <c r="I1" s="7" t="s">
        <v>130</v>
      </c>
      <c r="J1" s="7" t="s">
        <v>131</v>
      </c>
      <c r="K1" s="7" t="s">
        <v>132</v>
      </c>
      <c r="L1" s="7" t="s">
        <v>133</v>
      </c>
      <c r="M1" s="7" t="s">
        <v>134</v>
      </c>
      <c r="N1" s="7" t="s">
        <v>135</v>
      </c>
      <c r="O1" s="7" t="s">
        <v>136</v>
      </c>
    </row>
    <row r="2" customFormat="false" ht="15" hidden="false" customHeight="false" outlineLevel="0" collapsed="false">
      <c r="A2" s="12" t="n">
        <v>45418</v>
      </c>
      <c r="B2" s="13" t="n">
        <v>0.472222222222222</v>
      </c>
      <c r="C2" s="5" t="s">
        <v>88</v>
      </c>
      <c r="D2" s="5" t="str">
        <f aca="false">VLOOKUP(C2,Areas!$A$2:$E$32,3,FALSE())</f>
        <v>West</v>
      </c>
      <c r="E2" s="5" t="s">
        <v>137</v>
      </c>
      <c r="F2" s="5" t="s">
        <v>138</v>
      </c>
      <c r="G2" s="5" t="str">
        <f aca="false">IF(F2="Large","Matador","Scooter")</f>
        <v>Scooter</v>
      </c>
      <c r="H2" s="5" t="n">
        <f aca="false">VLOOKUP(C2,Areas!$A$2:$E$32,4,FALSE())</f>
        <v>5.5</v>
      </c>
      <c r="I2" s="5" t="n">
        <f aca="false">2*H2</f>
        <v>11</v>
      </c>
      <c r="J2" s="14" t="n">
        <f aca="false">IF(G2="Matador",I2/Notes!$B$21*Notes!$B$22,I2/Notes!$B$23*Notes!$B$24)</f>
        <v>24.4053333333333</v>
      </c>
      <c r="K2" s="12" t="n">
        <f aca="false">IF(B2&lt;=Notes!$B$26,A2,IF(WEEKDAY(A2)=7,A2+2,A2+1))</f>
        <v>45418</v>
      </c>
      <c r="L2" s="5" t="str">
        <f aca="false">IF(K2=A2,"Yes","No")</f>
        <v>Yes</v>
      </c>
      <c r="M2" s="5" t="str">
        <f aca="false">IF(E2="Express","No","Yes")</f>
        <v>Yes</v>
      </c>
      <c r="N2" s="5" t="n">
        <f aca="false">IF(M2="No",2*H2,0)</f>
        <v>0</v>
      </c>
      <c r="O2" s="14" t="n">
        <f aca="false">IF(N2=0,0,IF(G2="Matador",N2/Notes!$B$21*Notes!$B$22,N2/Notes!$B$23*Notes!$B$24))</f>
        <v>0</v>
      </c>
    </row>
    <row r="3" customFormat="false" ht="15" hidden="false" customHeight="false" outlineLevel="0" collapsed="false">
      <c r="A3" s="12" t="n">
        <v>45418</v>
      </c>
      <c r="B3" s="13" t="n">
        <v>0.5</v>
      </c>
      <c r="C3" s="5" t="s">
        <v>64</v>
      </c>
      <c r="D3" s="5" t="str">
        <f aca="false">VLOOKUP(C3,Areas!$A$2:$E$32,3,FALSE())</f>
        <v>Central</v>
      </c>
      <c r="E3" s="5" t="s">
        <v>137</v>
      </c>
      <c r="F3" s="5" t="s">
        <v>138</v>
      </c>
      <c r="G3" s="5" t="str">
        <f aca="false">IF(F3="Large","Matador","Scooter")</f>
        <v>Scooter</v>
      </c>
      <c r="H3" s="5" t="n">
        <f aca="false">VLOOKUP(C3,Areas!$A$2:$E$32,4,FALSE())</f>
        <v>3</v>
      </c>
      <c r="I3" s="5" t="n">
        <f aca="false">2*H3</f>
        <v>6</v>
      </c>
      <c r="J3" s="14" t="n">
        <f aca="false">IF(G3="Matador",I3/Notes!$B$21*Notes!$B$22,I3/Notes!$B$23*Notes!$B$24)</f>
        <v>13.312</v>
      </c>
      <c r="K3" s="12" t="n">
        <f aca="false">IF(B3&lt;=Notes!$B$26,A3,IF(WEEKDAY(A3)=7,A3+2,A3+1))</f>
        <v>45418</v>
      </c>
      <c r="L3" s="5" t="str">
        <f aca="false">IF(K3=A3,"Yes","No")</f>
        <v>Yes</v>
      </c>
      <c r="M3" s="5" t="str">
        <f aca="false">IF(E3="Express","No","Yes")</f>
        <v>Yes</v>
      </c>
      <c r="N3" s="5" t="n">
        <f aca="false">IF(M3="No",2*H3,0)</f>
        <v>0</v>
      </c>
      <c r="O3" s="14" t="n">
        <f aca="false">IF(N3=0,0,IF(G3="Matador",N3/Notes!$B$21*Notes!$B$22,N3/Notes!$B$23*Notes!$B$24))</f>
        <v>0</v>
      </c>
    </row>
    <row r="4" customFormat="false" ht="15" hidden="false" customHeight="false" outlineLevel="0" collapsed="false">
      <c r="A4" s="12" t="n">
        <v>45418</v>
      </c>
      <c r="B4" s="13" t="n">
        <v>0.506944444444444</v>
      </c>
      <c r="C4" s="5" t="s">
        <v>102</v>
      </c>
      <c r="D4" s="5" t="str">
        <f aca="false">VLOOKUP(C4,Areas!$A$2:$E$32,3,FALSE())</f>
        <v>North</v>
      </c>
      <c r="E4" s="5" t="s">
        <v>139</v>
      </c>
      <c r="F4" s="5" t="s">
        <v>138</v>
      </c>
      <c r="G4" s="5" t="str">
        <f aca="false">IF(F4="Large","Matador","Scooter")</f>
        <v>Scooter</v>
      </c>
      <c r="H4" s="5" t="n">
        <f aca="false">VLOOKUP(C4,Areas!$A$2:$E$32,4,FALSE())</f>
        <v>11</v>
      </c>
      <c r="I4" s="5" t="n">
        <f aca="false">2*H4</f>
        <v>22</v>
      </c>
      <c r="J4" s="14" t="n">
        <f aca="false">IF(G4="Matador",I4/Notes!$B$21*Notes!$B$22,I4/Notes!$B$23*Notes!$B$24)</f>
        <v>48.8106666666667</v>
      </c>
      <c r="K4" s="12" t="n">
        <f aca="false">IF(B4&lt;=Notes!$B$26,A4,IF(WEEKDAY(A4)=7,A4+2,A4+1))</f>
        <v>45418</v>
      </c>
      <c r="L4" s="5" t="str">
        <f aca="false">IF(K4=A4,"Yes","No")</f>
        <v>Yes</v>
      </c>
      <c r="M4" s="5" t="str">
        <f aca="false">IF(E4="Express","No","Yes")</f>
        <v>No</v>
      </c>
      <c r="N4" s="5" t="n">
        <f aca="false">IF(M4="No",2*H4,0)</f>
        <v>22</v>
      </c>
      <c r="O4" s="14" t="n">
        <f aca="false">IF(N4=0,0,IF(G4="Matador",N4/Notes!$B$21*Notes!$B$22,N4/Notes!$B$23*Notes!$B$24))</f>
        <v>48.8106666666667</v>
      </c>
    </row>
    <row r="5" customFormat="false" ht="15" hidden="false" customHeight="false" outlineLevel="0" collapsed="false">
      <c r="A5" s="12" t="n">
        <v>45418</v>
      </c>
      <c r="B5" s="13" t="n">
        <v>0.513888888888889</v>
      </c>
      <c r="C5" s="5" t="s">
        <v>97</v>
      </c>
      <c r="D5" s="5" t="str">
        <f aca="false">VLOOKUP(C5,Areas!$A$2:$E$32,3,FALSE())</f>
        <v>West</v>
      </c>
      <c r="E5" s="5" t="s">
        <v>137</v>
      </c>
      <c r="F5" s="5" t="s">
        <v>140</v>
      </c>
      <c r="G5" s="5" t="str">
        <f aca="false">IF(F5="Large","Matador","Scooter")</f>
        <v>Matador</v>
      </c>
      <c r="H5" s="5" t="n">
        <f aca="false">VLOOKUP(C5,Areas!$A$2:$E$32,4,FALSE())</f>
        <v>13.5</v>
      </c>
      <c r="I5" s="5" t="n">
        <f aca="false">2*H5</f>
        <v>27</v>
      </c>
      <c r="J5" s="14" t="n">
        <f aca="false">IF(G5="Matador",I5/Notes!$B$21*Notes!$B$22,I5/Notes!$B$23*Notes!$B$24)</f>
        <v>145.006875</v>
      </c>
      <c r="K5" s="12" t="n">
        <f aca="false">IF(B5&lt;=Notes!$B$26,A5,IF(WEEKDAY(A5)=7,A5+2,A5+1))</f>
        <v>45418</v>
      </c>
      <c r="L5" s="5" t="str">
        <f aca="false">IF(K5=A5,"Yes","No")</f>
        <v>Yes</v>
      </c>
      <c r="M5" s="5" t="str">
        <f aca="false">IF(E5="Express","No","Yes")</f>
        <v>Yes</v>
      </c>
      <c r="N5" s="5" t="n">
        <f aca="false">IF(M5="No",2*H5,0)</f>
        <v>0</v>
      </c>
      <c r="O5" s="14" t="n">
        <f aca="false">IF(N5=0,0,IF(G5="Matador",N5/Notes!$B$21*Notes!$B$22,N5/Notes!$B$23*Notes!$B$24))</f>
        <v>0</v>
      </c>
    </row>
    <row r="6" customFormat="false" ht="15" hidden="false" customHeight="false" outlineLevel="0" collapsed="false">
      <c r="A6" s="12" t="n">
        <v>45418</v>
      </c>
      <c r="B6" s="13" t="n">
        <v>0.545138888888889</v>
      </c>
      <c r="C6" s="5" t="s">
        <v>69</v>
      </c>
      <c r="D6" s="5" t="str">
        <f aca="false">VLOOKUP(C6,Areas!$A$2:$E$32,3,FALSE())</f>
        <v>Central</v>
      </c>
      <c r="E6" s="5" t="s">
        <v>139</v>
      </c>
      <c r="F6" s="5" t="s">
        <v>138</v>
      </c>
      <c r="G6" s="5" t="str">
        <f aca="false">IF(F6="Large","Matador","Scooter")</f>
        <v>Scooter</v>
      </c>
      <c r="H6" s="5" t="n">
        <f aca="false">VLOOKUP(C6,Areas!$A$2:$E$32,4,FALSE())</f>
        <v>4.5</v>
      </c>
      <c r="I6" s="5" t="n">
        <f aca="false">2*H6</f>
        <v>9</v>
      </c>
      <c r="J6" s="14" t="n">
        <f aca="false">IF(G6="Matador",I6/Notes!$B$21*Notes!$B$22,I6/Notes!$B$23*Notes!$B$24)</f>
        <v>19.968</v>
      </c>
      <c r="K6" s="12" t="n">
        <f aca="false">IF(B6&lt;=Notes!$B$26,A6,IF(WEEKDAY(A6)=7,A6+2,A6+1))</f>
        <v>45419</v>
      </c>
      <c r="L6" s="5" t="str">
        <f aca="false">IF(K6=A6,"Yes","No")</f>
        <v>No</v>
      </c>
      <c r="M6" s="5" t="str">
        <f aca="false">IF(E6="Express","No","Yes")</f>
        <v>No</v>
      </c>
      <c r="N6" s="5" t="n">
        <f aca="false">IF(M6="No",2*H6,0)</f>
        <v>9</v>
      </c>
      <c r="O6" s="14" t="n">
        <f aca="false">IF(N6=0,0,IF(G6="Matador",N6/Notes!$B$21*Notes!$B$22,N6/Notes!$B$23*Notes!$B$24))</f>
        <v>19.968</v>
      </c>
    </row>
    <row r="7" customFormat="false" ht="15" hidden="false" customHeight="false" outlineLevel="0" collapsed="false">
      <c r="A7" s="12" t="n">
        <v>45418</v>
      </c>
      <c r="B7" s="13" t="n">
        <v>0.600694444444444</v>
      </c>
      <c r="C7" s="5" t="s">
        <v>80</v>
      </c>
      <c r="D7" s="5" t="str">
        <f aca="false">VLOOKUP(C7,Areas!$A$2:$E$32,3,FALSE())</f>
        <v>South</v>
      </c>
      <c r="E7" s="5" t="s">
        <v>137</v>
      </c>
      <c r="F7" s="5" t="s">
        <v>138</v>
      </c>
      <c r="G7" s="5" t="str">
        <f aca="false">IF(F7="Large","Matador","Scooter")</f>
        <v>Scooter</v>
      </c>
      <c r="H7" s="5" t="n">
        <f aca="false">VLOOKUP(C7,Areas!$A$2:$E$32,4,FALSE())</f>
        <v>9.5</v>
      </c>
      <c r="I7" s="5" t="n">
        <f aca="false">2*H7</f>
        <v>19</v>
      </c>
      <c r="J7" s="14" t="n">
        <f aca="false">IF(G7="Matador",I7/Notes!$B$21*Notes!$B$22,I7/Notes!$B$23*Notes!$B$24)</f>
        <v>42.1546666666667</v>
      </c>
      <c r="K7" s="12" t="n">
        <f aca="false">IF(B7&lt;=Notes!$B$26,A7,IF(WEEKDAY(A7)=7,A7+2,A7+1))</f>
        <v>45419</v>
      </c>
      <c r="L7" s="5" t="str">
        <f aca="false">IF(K7=A7,"Yes","No")</f>
        <v>No</v>
      </c>
      <c r="M7" s="5" t="str">
        <f aca="false">IF(E7="Express","No","Yes")</f>
        <v>Yes</v>
      </c>
      <c r="N7" s="5" t="n">
        <f aca="false">IF(M7="No",2*H7,0)</f>
        <v>0</v>
      </c>
      <c r="O7" s="14" t="n">
        <f aca="false">IF(N7=0,0,IF(G7="Matador",N7/Notes!$B$21*Notes!$B$22,N7/Notes!$B$23*Notes!$B$24))</f>
        <v>0</v>
      </c>
    </row>
    <row r="8" customFormat="false" ht="15" hidden="false" customHeight="false" outlineLevel="0" collapsed="false">
      <c r="A8" s="12" t="n">
        <v>45418</v>
      </c>
      <c r="B8" s="13" t="n">
        <v>0.625</v>
      </c>
      <c r="C8" s="5" t="s">
        <v>97</v>
      </c>
      <c r="D8" s="5" t="str">
        <f aca="false">VLOOKUP(C8,Areas!$A$2:$E$32,3,FALSE())</f>
        <v>West</v>
      </c>
      <c r="E8" s="5" t="s">
        <v>137</v>
      </c>
      <c r="F8" s="5" t="s">
        <v>138</v>
      </c>
      <c r="G8" s="5" t="str">
        <f aca="false">IF(F8="Large","Matador","Scooter")</f>
        <v>Scooter</v>
      </c>
      <c r="H8" s="5" t="n">
        <f aca="false">VLOOKUP(C8,Areas!$A$2:$E$32,4,FALSE())</f>
        <v>13.5</v>
      </c>
      <c r="I8" s="5" t="n">
        <f aca="false">2*H8</f>
        <v>27</v>
      </c>
      <c r="J8" s="14" t="n">
        <f aca="false">IF(G8="Matador",I8/Notes!$B$21*Notes!$B$22,I8/Notes!$B$23*Notes!$B$24)</f>
        <v>59.904</v>
      </c>
      <c r="K8" s="12" t="n">
        <f aca="false">IF(B8&lt;=Notes!$B$26,A8,IF(WEEKDAY(A8)=7,A8+2,A8+1))</f>
        <v>45419</v>
      </c>
      <c r="L8" s="5" t="str">
        <f aca="false">IF(K8=A8,"Yes","No")</f>
        <v>No</v>
      </c>
      <c r="M8" s="5" t="str">
        <f aca="false">IF(E8="Express","No","Yes")</f>
        <v>Yes</v>
      </c>
      <c r="N8" s="5" t="n">
        <f aca="false">IF(M8="No",2*H8,0)</f>
        <v>0</v>
      </c>
      <c r="O8" s="14" t="n">
        <f aca="false">IF(N8=0,0,IF(G8="Matador",N8/Notes!$B$21*Notes!$B$22,N8/Notes!$B$23*Notes!$B$24))</f>
        <v>0</v>
      </c>
    </row>
    <row r="9" customFormat="false" ht="15" hidden="false" customHeight="false" outlineLevel="0" collapsed="false">
      <c r="A9" s="12" t="n">
        <v>45418</v>
      </c>
      <c r="B9" s="13" t="n">
        <v>0.645833333333333</v>
      </c>
      <c r="C9" s="5" t="s">
        <v>106</v>
      </c>
      <c r="D9" s="5" t="str">
        <f aca="false">VLOOKUP(C9,Areas!$A$2:$E$32,3,FALSE())</f>
        <v>North</v>
      </c>
      <c r="E9" s="5" t="s">
        <v>139</v>
      </c>
      <c r="F9" s="5" t="s">
        <v>140</v>
      </c>
      <c r="G9" s="5" t="str">
        <f aca="false">IF(F9="Large","Matador","Scooter")</f>
        <v>Matador</v>
      </c>
      <c r="H9" s="5" t="n">
        <f aca="false">VLOOKUP(C9,Areas!$A$2:$E$32,4,FALSE())</f>
        <v>10.5</v>
      </c>
      <c r="I9" s="5" t="n">
        <f aca="false">2*H9</f>
        <v>21</v>
      </c>
      <c r="J9" s="14" t="n">
        <f aca="false">IF(G9="Matador",I9/Notes!$B$21*Notes!$B$22,I9/Notes!$B$23*Notes!$B$24)</f>
        <v>112.783125</v>
      </c>
      <c r="K9" s="12" t="n">
        <f aca="false">IF(B9&lt;=Notes!$B$26,A9,IF(WEEKDAY(A9)=7,A9+2,A9+1))</f>
        <v>45419</v>
      </c>
      <c r="L9" s="5" t="str">
        <f aca="false">IF(K9=A9,"Yes","No")</f>
        <v>No</v>
      </c>
      <c r="M9" s="5" t="str">
        <f aca="false">IF(E9="Express","No","Yes")</f>
        <v>No</v>
      </c>
      <c r="N9" s="5" t="n">
        <f aca="false">IF(M9="No",2*H9,0)</f>
        <v>21</v>
      </c>
      <c r="O9" s="14" t="n">
        <f aca="false">IF(N9=0,0,IF(G9="Matador",N9/Notes!$B$21*Notes!$B$22,N9/Notes!$B$23*Notes!$B$24))</f>
        <v>112.783125</v>
      </c>
    </row>
    <row r="10" customFormat="false" ht="15" hidden="false" customHeight="false" outlineLevel="0" collapsed="false">
      <c r="A10" s="12" t="n">
        <v>45418</v>
      </c>
      <c r="B10" s="13" t="n">
        <v>0.649305555555556</v>
      </c>
      <c r="C10" s="5" t="s">
        <v>74</v>
      </c>
      <c r="D10" s="5" t="str">
        <f aca="false">VLOOKUP(C10,Areas!$A$2:$E$32,3,FALSE())</f>
        <v>South</v>
      </c>
      <c r="E10" s="5" t="s">
        <v>137</v>
      </c>
      <c r="F10" s="5" t="s">
        <v>138</v>
      </c>
      <c r="G10" s="5" t="str">
        <f aca="false">IF(F10="Large","Matador","Scooter")</f>
        <v>Scooter</v>
      </c>
      <c r="H10" s="5" t="n">
        <f aca="false">VLOOKUP(C10,Areas!$A$2:$E$32,4,FALSE())</f>
        <v>2.5</v>
      </c>
      <c r="I10" s="5" t="n">
        <f aca="false">2*H10</f>
        <v>5</v>
      </c>
      <c r="J10" s="14" t="n">
        <f aca="false">IF(G10="Matador",I10/Notes!$B$21*Notes!$B$22,I10/Notes!$B$23*Notes!$B$24)</f>
        <v>11.0933333333333</v>
      </c>
      <c r="K10" s="12" t="n">
        <f aca="false">IF(B10&lt;=Notes!$B$26,A10,IF(WEEKDAY(A10)=7,A10+2,A10+1))</f>
        <v>45419</v>
      </c>
      <c r="L10" s="5" t="str">
        <f aca="false">IF(K10=A10,"Yes","No")</f>
        <v>No</v>
      </c>
      <c r="M10" s="5" t="str">
        <f aca="false">IF(E10="Express","No","Yes")</f>
        <v>Yes</v>
      </c>
      <c r="N10" s="5" t="n">
        <f aca="false">IF(M10="No",2*H10,0)</f>
        <v>0</v>
      </c>
      <c r="O10" s="14" t="n">
        <f aca="false">IF(N10=0,0,IF(G10="Matador",N10/Notes!$B$21*Notes!$B$22,N10/Notes!$B$23*Notes!$B$24))</f>
        <v>0</v>
      </c>
    </row>
    <row r="11" customFormat="false" ht="15" hidden="false" customHeight="false" outlineLevel="0" collapsed="false">
      <c r="A11" s="12" t="n">
        <v>45418</v>
      </c>
      <c r="B11" s="13" t="n">
        <v>0.680555555555556</v>
      </c>
      <c r="C11" s="5" t="s">
        <v>74</v>
      </c>
      <c r="D11" s="5" t="str">
        <f aca="false">VLOOKUP(C11,Areas!$A$2:$E$32,3,FALSE())</f>
        <v>South</v>
      </c>
      <c r="E11" s="5" t="s">
        <v>137</v>
      </c>
      <c r="F11" s="5" t="s">
        <v>138</v>
      </c>
      <c r="G11" s="5" t="str">
        <f aca="false">IF(F11="Large","Matador","Scooter")</f>
        <v>Scooter</v>
      </c>
      <c r="H11" s="5" t="n">
        <f aca="false">VLOOKUP(C11,Areas!$A$2:$E$32,4,FALSE())</f>
        <v>2.5</v>
      </c>
      <c r="I11" s="5" t="n">
        <f aca="false">2*H11</f>
        <v>5</v>
      </c>
      <c r="J11" s="14" t="n">
        <f aca="false">IF(G11="Matador",I11/Notes!$B$21*Notes!$B$22,I11/Notes!$B$23*Notes!$B$24)</f>
        <v>11.0933333333333</v>
      </c>
      <c r="K11" s="12" t="n">
        <f aca="false">IF(B11&lt;=Notes!$B$26,A11,IF(WEEKDAY(A11)=7,A11+2,A11+1))</f>
        <v>45419</v>
      </c>
      <c r="L11" s="5" t="str">
        <f aca="false">IF(K11=A11,"Yes","No")</f>
        <v>No</v>
      </c>
      <c r="M11" s="5" t="str">
        <f aca="false">IF(E11="Express","No","Yes")</f>
        <v>Yes</v>
      </c>
      <c r="N11" s="5" t="n">
        <f aca="false">IF(M11="No",2*H11,0)</f>
        <v>0</v>
      </c>
      <c r="O11" s="14" t="n">
        <f aca="false">IF(N11=0,0,IF(G11="Matador",N11/Notes!$B$21*Notes!$B$22,N11/Notes!$B$23*Notes!$B$24))</f>
        <v>0</v>
      </c>
    </row>
    <row r="12" customFormat="false" ht="15" hidden="false" customHeight="false" outlineLevel="0" collapsed="false">
      <c r="A12" s="12" t="n">
        <v>45418</v>
      </c>
      <c r="B12" s="13" t="n">
        <v>0.708333333333333</v>
      </c>
      <c r="C12" s="5" t="s">
        <v>99</v>
      </c>
      <c r="D12" s="5" t="str">
        <f aca="false">VLOOKUP(C12,Areas!$A$2:$E$32,3,FALSE())</f>
        <v>North</v>
      </c>
      <c r="E12" s="5" t="s">
        <v>137</v>
      </c>
      <c r="F12" s="5" t="s">
        <v>138</v>
      </c>
      <c r="G12" s="5" t="str">
        <f aca="false">IF(F12="Large","Matador","Scooter")</f>
        <v>Scooter</v>
      </c>
      <c r="H12" s="5" t="n">
        <f aca="false">VLOOKUP(C12,Areas!$A$2:$E$32,4,FALSE())</f>
        <v>6.5</v>
      </c>
      <c r="I12" s="5" t="n">
        <f aca="false">2*H12</f>
        <v>13</v>
      </c>
      <c r="J12" s="14" t="n">
        <f aca="false">IF(G12="Matador",I12/Notes!$B$21*Notes!$B$22,I12/Notes!$B$23*Notes!$B$24)</f>
        <v>28.8426666666667</v>
      </c>
      <c r="K12" s="12" t="n">
        <f aca="false">IF(B12&lt;=Notes!$B$26,A12,IF(WEEKDAY(A12)=7,A12+2,A12+1))</f>
        <v>45419</v>
      </c>
      <c r="L12" s="5" t="str">
        <f aca="false">IF(K12=A12,"Yes","No")</f>
        <v>No</v>
      </c>
      <c r="M12" s="5" t="str">
        <f aca="false">IF(E12="Express","No","Yes")</f>
        <v>Yes</v>
      </c>
      <c r="N12" s="5" t="n">
        <f aca="false">IF(M12="No",2*H12,0)</f>
        <v>0</v>
      </c>
      <c r="O12" s="14" t="n">
        <f aca="false">IF(N12=0,0,IF(G12="Matador",N12/Notes!$B$21*Notes!$B$22,N12/Notes!$B$23*Notes!$B$24))</f>
        <v>0</v>
      </c>
    </row>
    <row r="13" customFormat="false" ht="15" hidden="false" customHeight="false" outlineLevel="0" collapsed="false">
      <c r="A13" s="12" t="n">
        <v>45418</v>
      </c>
      <c r="B13" s="13" t="n">
        <v>0.708333333333333</v>
      </c>
      <c r="C13" s="5" t="s">
        <v>71</v>
      </c>
      <c r="D13" s="5" t="str">
        <f aca="false">VLOOKUP(C13,Areas!$A$2:$E$32,3,FALSE())</f>
        <v>South</v>
      </c>
      <c r="E13" s="5" t="s">
        <v>139</v>
      </c>
      <c r="F13" s="5" t="s">
        <v>138</v>
      </c>
      <c r="G13" s="5" t="str">
        <f aca="false">IF(F13="Large","Matador","Scooter")</f>
        <v>Scooter</v>
      </c>
      <c r="H13" s="5" t="n">
        <f aca="false">VLOOKUP(C13,Areas!$A$2:$E$32,4,FALSE())</f>
        <v>4.5</v>
      </c>
      <c r="I13" s="5" t="n">
        <f aca="false">2*H13</f>
        <v>9</v>
      </c>
      <c r="J13" s="14" t="n">
        <f aca="false">IF(G13="Matador",I13/Notes!$B$21*Notes!$B$22,I13/Notes!$B$23*Notes!$B$24)</f>
        <v>19.968</v>
      </c>
      <c r="K13" s="12" t="n">
        <f aca="false">IF(B13&lt;=Notes!$B$26,A13,IF(WEEKDAY(A13)=7,A13+2,A13+1))</f>
        <v>45419</v>
      </c>
      <c r="L13" s="5" t="str">
        <f aca="false">IF(K13=A13,"Yes","No")</f>
        <v>No</v>
      </c>
      <c r="M13" s="5" t="str">
        <f aca="false">IF(E13="Express","No","Yes")</f>
        <v>No</v>
      </c>
      <c r="N13" s="5" t="n">
        <f aca="false">IF(M13="No",2*H13,0)</f>
        <v>9</v>
      </c>
      <c r="O13" s="14" t="n">
        <f aca="false">IF(N13=0,0,IF(G13="Matador",N13/Notes!$B$21*Notes!$B$22,N13/Notes!$B$23*Notes!$B$24))</f>
        <v>19.968</v>
      </c>
    </row>
    <row r="14" customFormat="false" ht="15" hidden="false" customHeight="false" outlineLevel="0" collapsed="false">
      <c r="A14" s="12" t="n">
        <v>45419</v>
      </c>
      <c r="B14" s="13" t="n">
        <v>0.40625</v>
      </c>
      <c r="C14" s="5" t="s">
        <v>60</v>
      </c>
      <c r="D14" s="5" t="str">
        <f aca="false">VLOOKUP(C14,Areas!$A$2:$E$32,3,FALSE())</f>
        <v>Central</v>
      </c>
      <c r="E14" s="5" t="s">
        <v>137</v>
      </c>
      <c r="F14" s="5" t="s">
        <v>140</v>
      </c>
      <c r="G14" s="5" t="str">
        <f aca="false">IF(F14="Large","Matador","Scooter")</f>
        <v>Matador</v>
      </c>
      <c r="H14" s="5" t="n">
        <f aca="false">VLOOKUP(C14,Areas!$A$2:$E$32,4,FALSE())</f>
        <v>2</v>
      </c>
      <c r="I14" s="5" t="n">
        <f aca="false">2*H14</f>
        <v>4</v>
      </c>
      <c r="J14" s="14" t="n">
        <f aca="false">IF(G14="Matador",I14/Notes!$B$21*Notes!$B$22,I14/Notes!$B$23*Notes!$B$24)</f>
        <v>21.4825</v>
      </c>
      <c r="K14" s="12" t="n">
        <f aca="false">IF(B14&lt;=Notes!$B$26,A14,IF(WEEKDAY(A14)=7,A14+2,A14+1))</f>
        <v>45419</v>
      </c>
      <c r="L14" s="5" t="str">
        <f aca="false">IF(K14=A14,"Yes","No")</f>
        <v>Yes</v>
      </c>
      <c r="M14" s="5" t="str">
        <f aca="false">IF(E14="Express","No","Yes")</f>
        <v>Yes</v>
      </c>
      <c r="N14" s="5" t="n">
        <f aca="false">IF(M14="No",2*H14,0)</f>
        <v>0</v>
      </c>
      <c r="O14" s="14" t="n">
        <f aca="false">IF(N14=0,0,IF(G14="Matador",N14/Notes!$B$21*Notes!$B$22,N14/Notes!$B$23*Notes!$B$24))</f>
        <v>0</v>
      </c>
    </row>
    <row r="15" customFormat="false" ht="15" hidden="false" customHeight="false" outlineLevel="0" collapsed="false">
      <c r="A15" s="12" t="n">
        <v>45419</v>
      </c>
      <c r="B15" s="13" t="n">
        <v>0.461805555555556</v>
      </c>
      <c r="C15" s="5" t="s">
        <v>91</v>
      </c>
      <c r="D15" s="5" t="str">
        <f aca="false">VLOOKUP(C15,Areas!$A$2:$E$32,3,FALSE())</f>
        <v>West</v>
      </c>
      <c r="E15" s="5" t="s">
        <v>137</v>
      </c>
      <c r="F15" s="5" t="s">
        <v>138</v>
      </c>
      <c r="G15" s="5" t="str">
        <f aca="false">IF(F15="Large","Matador","Scooter")</f>
        <v>Scooter</v>
      </c>
      <c r="H15" s="5" t="n">
        <f aca="false">VLOOKUP(C15,Areas!$A$2:$E$32,4,FALSE())</f>
        <v>4.5</v>
      </c>
      <c r="I15" s="5" t="n">
        <f aca="false">2*H15</f>
        <v>9</v>
      </c>
      <c r="J15" s="14" t="n">
        <f aca="false">IF(G15="Matador",I15/Notes!$B$21*Notes!$B$22,I15/Notes!$B$23*Notes!$B$24)</f>
        <v>19.968</v>
      </c>
      <c r="K15" s="12" t="n">
        <f aca="false">IF(B15&lt;=Notes!$B$26,A15,IF(WEEKDAY(A15)=7,A15+2,A15+1))</f>
        <v>45419</v>
      </c>
      <c r="L15" s="5" t="str">
        <f aca="false">IF(K15=A15,"Yes","No")</f>
        <v>Yes</v>
      </c>
      <c r="M15" s="5" t="str">
        <f aca="false">IF(E15="Express","No","Yes")</f>
        <v>Yes</v>
      </c>
      <c r="N15" s="5" t="n">
        <f aca="false">IF(M15="No",2*H15,0)</f>
        <v>0</v>
      </c>
      <c r="O15" s="14" t="n">
        <f aca="false">IF(N15=0,0,IF(G15="Matador",N15/Notes!$B$21*Notes!$B$22,N15/Notes!$B$23*Notes!$B$24))</f>
        <v>0</v>
      </c>
    </row>
    <row r="16" customFormat="false" ht="15" hidden="false" customHeight="false" outlineLevel="0" collapsed="false">
      <c r="A16" s="12" t="n">
        <v>45419</v>
      </c>
      <c r="B16" s="13" t="n">
        <v>0.496527777777778</v>
      </c>
      <c r="C16" s="5" t="s">
        <v>71</v>
      </c>
      <c r="D16" s="5" t="str">
        <f aca="false">VLOOKUP(C16,Areas!$A$2:$E$32,3,FALSE())</f>
        <v>South</v>
      </c>
      <c r="E16" s="5" t="s">
        <v>139</v>
      </c>
      <c r="F16" s="5" t="s">
        <v>138</v>
      </c>
      <c r="G16" s="5" t="str">
        <f aca="false">IF(F16="Large","Matador","Scooter")</f>
        <v>Scooter</v>
      </c>
      <c r="H16" s="5" t="n">
        <f aca="false">VLOOKUP(C16,Areas!$A$2:$E$32,4,FALSE())</f>
        <v>4.5</v>
      </c>
      <c r="I16" s="5" t="n">
        <f aca="false">2*H16</f>
        <v>9</v>
      </c>
      <c r="J16" s="14" t="n">
        <f aca="false">IF(G16="Matador",I16/Notes!$B$21*Notes!$B$22,I16/Notes!$B$23*Notes!$B$24)</f>
        <v>19.968</v>
      </c>
      <c r="K16" s="12" t="n">
        <f aca="false">IF(B16&lt;=Notes!$B$26,A16,IF(WEEKDAY(A16)=7,A16+2,A16+1))</f>
        <v>45419</v>
      </c>
      <c r="L16" s="5" t="str">
        <f aca="false">IF(K16=A16,"Yes","No")</f>
        <v>Yes</v>
      </c>
      <c r="M16" s="5" t="str">
        <f aca="false">IF(E16="Express","No","Yes")</f>
        <v>No</v>
      </c>
      <c r="N16" s="5" t="n">
        <f aca="false">IF(M16="No",2*H16,0)</f>
        <v>9</v>
      </c>
      <c r="O16" s="14" t="n">
        <f aca="false">IF(N16=0,0,IF(G16="Matador",N16/Notes!$B$21*Notes!$B$22,N16/Notes!$B$23*Notes!$B$24))</f>
        <v>19.968</v>
      </c>
    </row>
    <row r="17" customFormat="false" ht="15" hidden="false" customHeight="false" outlineLevel="0" collapsed="false">
      <c r="A17" s="12" t="n">
        <v>45419</v>
      </c>
      <c r="B17" s="13" t="n">
        <v>0.548611111111111</v>
      </c>
      <c r="C17" s="5" t="s">
        <v>66</v>
      </c>
      <c r="D17" s="5" t="str">
        <f aca="false">VLOOKUP(C17,Areas!$A$2:$E$32,3,FALSE())</f>
        <v>Central</v>
      </c>
      <c r="E17" s="5" t="s">
        <v>137</v>
      </c>
      <c r="F17" s="5" t="s">
        <v>140</v>
      </c>
      <c r="G17" s="5" t="str">
        <f aca="false">IF(F17="Large","Matador","Scooter")</f>
        <v>Matador</v>
      </c>
      <c r="H17" s="5" t="n">
        <f aca="false">VLOOKUP(C17,Areas!$A$2:$E$32,4,FALSE())</f>
        <v>6</v>
      </c>
      <c r="I17" s="5" t="n">
        <f aca="false">2*H17</f>
        <v>12</v>
      </c>
      <c r="J17" s="14" t="n">
        <f aca="false">IF(G17="Matador",I17/Notes!$B$21*Notes!$B$22,I17/Notes!$B$23*Notes!$B$24)</f>
        <v>64.4475</v>
      </c>
      <c r="K17" s="12" t="n">
        <f aca="false">IF(B17&lt;=Notes!$B$26,A17,IF(WEEKDAY(A17)=7,A17+2,A17+1))</f>
        <v>45420</v>
      </c>
      <c r="L17" s="5" t="str">
        <f aca="false">IF(K17=A17,"Yes","No")</f>
        <v>No</v>
      </c>
      <c r="M17" s="5" t="str">
        <f aca="false">IF(E17="Express","No","Yes")</f>
        <v>Yes</v>
      </c>
      <c r="N17" s="5" t="n">
        <f aca="false">IF(M17="No",2*H17,0)</f>
        <v>0</v>
      </c>
      <c r="O17" s="14" t="n">
        <f aca="false">IF(N17=0,0,IF(G17="Matador",N17/Notes!$B$21*Notes!$B$22,N17/Notes!$B$23*Notes!$B$24))</f>
        <v>0</v>
      </c>
    </row>
    <row r="18" customFormat="false" ht="15" hidden="false" customHeight="false" outlineLevel="0" collapsed="false">
      <c r="A18" s="12" t="n">
        <v>45419</v>
      </c>
      <c r="B18" s="13" t="n">
        <v>0.618055555555556</v>
      </c>
      <c r="C18" s="5" t="s">
        <v>66</v>
      </c>
      <c r="D18" s="5" t="str">
        <f aca="false">VLOOKUP(C18,Areas!$A$2:$E$32,3,FALSE())</f>
        <v>Central</v>
      </c>
      <c r="E18" s="5" t="s">
        <v>137</v>
      </c>
      <c r="F18" s="5" t="s">
        <v>140</v>
      </c>
      <c r="G18" s="5" t="str">
        <f aca="false">IF(F18="Large","Matador","Scooter")</f>
        <v>Matador</v>
      </c>
      <c r="H18" s="5" t="n">
        <f aca="false">VLOOKUP(C18,Areas!$A$2:$E$32,4,FALSE())</f>
        <v>6</v>
      </c>
      <c r="I18" s="5" t="n">
        <f aca="false">2*H18</f>
        <v>12</v>
      </c>
      <c r="J18" s="14" t="n">
        <f aca="false">IF(G18="Matador",I18/Notes!$B$21*Notes!$B$22,I18/Notes!$B$23*Notes!$B$24)</f>
        <v>64.4475</v>
      </c>
      <c r="K18" s="12" t="n">
        <f aca="false">IF(B18&lt;=Notes!$B$26,A18,IF(WEEKDAY(A18)=7,A18+2,A18+1))</f>
        <v>45420</v>
      </c>
      <c r="L18" s="5" t="str">
        <f aca="false">IF(K18=A18,"Yes","No")</f>
        <v>No</v>
      </c>
      <c r="M18" s="5" t="str">
        <f aca="false">IF(E18="Express","No","Yes")</f>
        <v>Yes</v>
      </c>
      <c r="N18" s="5" t="n">
        <f aca="false">IF(M18="No",2*H18,0)</f>
        <v>0</v>
      </c>
      <c r="O18" s="14" t="n">
        <f aca="false">IF(N18=0,0,IF(G18="Matador",N18/Notes!$B$21*Notes!$B$22,N18/Notes!$B$23*Notes!$B$24))</f>
        <v>0</v>
      </c>
    </row>
    <row r="19" customFormat="false" ht="15" hidden="false" customHeight="false" outlineLevel="0" collapsed="false">
      <c r="A19" s="12" t="n">
        <v>45419</v>
      </c>
      <c r="B19" s="13" t="n">
        <v>0.628472222222222</v>
      </c>
      <c r="C19" s="5" t="s">
        <v>71</v>
      </c>
      <c r="D19" s="5" t="str">
        <f aca="false">VLOOKUP(C19,Areas!$A$2:$E$32,3,FALSE())</f>
        <v>South</v>
      </c>
      <c r="E19" s="5" t="s">
        <v>139</v>
      </c>
      <c r="F19" s="5" t="s">
        <v>138</v>
      </c>
      <c r="G19" s="5" t="str">
        <f aca="false">IF(F19="Large","Matador","Scooter")</f>
        <v>Scooter</v>
      </c>
      <c r="H19" s="5" t="n">
        <f aca="false">VLOOKUP(C19,Areas!$A$2:$E$32,4,FALSE())</f>
        <v>4.5</v>
      </c>
      <c r="I19" s="5" t="n">
        <f aca="false">2*H19</f>
        <v>9</v>
      </c>
      <c r="J19" s="14" t="n">
        <f aca="false">IF(G19="Matador",I19/Notes!$B$21*Notes!$B$22,I19/Notes!$B$23*Notes!$B$24)</f>
        <v>19.968</v>
      </c>
      <c r="K19" s="12" t="n">
        <f aca="false">IF(B19&lt;=Notes!$B$26,A19,IF(WEEKDAY(A19)=7,A19+2,A19+1))</f>
        <v>45420</v>
      </c>
      <c r="L19" s="5" t="str">
        <f aca="false">IF(K19=A19,"Yes","No")</f>
        <v>No</v>
      </c>
      <c r="M19" s="5" t="str">
        <f aca="false">IF(E19="Express","No","Yes")</f>
        <v>No</v>
      </c>
      <c r="N19" s="5" t="n">
        <f aca="false">IF(M19="No",2*H19,0)</f>
        <v>9</v>
      </c>
      <c r="O19" s="14" t="n">
        <f aca="false">IF(N19=0,0,IF(G19="Matador",N19/Notes!$B$21*Notes!$B$22,N19/Notes!$B$23*Notes!$B$24))</f>
        <v>19.968</v>
      </c>
    </row>
    <row r="20" customFormat="false" ht="15" hidden="false" customHeight="false" outlineLevel="0" collapsed="false">
      <c r="A20" s="12" t="n">
        <v>45419</v>
      </c>
      <c r="B20" s="13" t="n">
        <v>0.628472222222222</v>
      </c>
      <c r="C20" s="5" t="s">
        <v>93</v>
      </c>
      <c r="D20" s="5" t="str">
        <f aca="false">VLOOKUP(C20,Areas!$A$2:$E$32,3,FALSE())</f>
        <v>West</v>
      </c>
      <c r="E20" s="5" t="s">
        <v>137</v>
      </c>
      <c r="F20" s="5" t="s">
        <v>138</v>
      </c>
      <c r="G20" s="5" t="str">
        <f aca="false">IF(F20="Large","Matador","Scooter")</f>
        <v>Scooter</v>
      </c>
      <c r="H20" s="5" t="n">
        <f aca="false">VLOOKUP(C20,Areas!$A$2:$E$32,4,FALSE())</f>
        <v>6.5</v>
      </c>
      <c r="I20" s="5" t="n">
        <f aca="false">2*H20</f>
        <v>13</v>
      </c>
      <c r="J20" s="14" t="n">
        <f aca="false">IF(G20="Matador",I20/Notes!$B$21*Notes!$B$22,I20/Notes!$B$23*Notes!$B$24)</f>
        <v>28.8426666666667</v>
      </c>
      <c r="K20" s="12" t="n">
        <f aca="false">IF(B20&lt;=Notes!$B$26,A20,IF(WEEKDAY(A20)=7,A20+2,A20+1))</f>
        <v>45420</v>
      </c>
      <c r="L20" s="5" t="str">
        <f aca="false">IF(K20=A20,"Yes","No")</f>
        <v>No</v>
      </c>
      <c r="M20" s="5" t="str">
        <f aca="false">IF(E20="Express","No","Yes")</f>
        <v>Yes</v>
      </c>
      <c r="N20" s="5" t="n">
        <f aca="false">IF(M20="No",2*H20,0)</f>
        <v>0</v>
      </c>
      <c r="O20" s="14" t="n">
        <f aca="false">IF(N20=0,0,IF(G20="Matador",N20/Notes!$B$21*Notes!$B$22,N20/Notes!$B$23*Notes!$B$24))</f>
        <v>0</v>
      </c>
    </row>
    <row r="21" customFormat="false" ht="15" hidden="false" customHeight="false" outlineLevel="0" collapsed="false">
      <c r="A21" s="12" t="n">
        <v>45419</v>
      </c>
      <c r="B21" s="13" t="n">
        <v>0.694444444444444</v>
      </c>
      <c r="C21" s="5" t="s">
        <v>71</v>
      </c>
      <c r="D21" s="5" t="str">
        <f aca="false">VLOOKUP(C21,Areas!$A$2:$E$32,3,FALSE())</f>
        <v>South</v>
      </c>
      <c r="E21" s="5" t="s">
        <v>139</v>
      </c>
      <c r="F21" s="5" t="s">
        <v>138</v>
      </c>
      <c r="G21" s="5" t="str">
        <f aca="false">IF(F21="Large","Matador","Scooter")</f>
        <v>Scooter</v>
      </c>
      <c r="H21" s="5" t="n">
        <f aca="false">VLOOKUP(C21,Areas!$A$2:$E$32,4,FALSE())</f>
        <v>4.5</v>
      </c>
      <c r="I21" s="5" t="n">
        <f aca="false">2*H21</f>
        <v>9</v>
      </c>
      <c r="J21" s="14" t="n">
        <f aca="false">IF(G21="Matador",I21/Notes!$B$21*Notes!$B$22,I21/Notes!$B$23*Notes!$B$24)</f>
        <v>19.968</v>
      </c>
      <c r="K21" s="12" t="n">
        <f aca="false">IF(B21&lt;=Notes!$B$26,A21,IF(WEEKDAY(A21)=7,A21+2,A21+1))</f>
        <v>45420</v>
      </c>
      <c r="L21" s="5" t="str">
        <f aca="false">IF(K21=A21,"Yes","No")</f>
        <v>No</v>
      </c>
      <c r="M21" s="5" t="str">
        <f aca="false">IF(E21="Express","No","Yes")</f>
        <v>No</v>
      </c>
      <c r="N21" s="5" t="n">
        <f aca="false">IF(M21="No",2*H21,0)</f>
        <v>9</v>
      </c>
      <c r="O21" s="14" t="n">
        <f aca="false">IF(N21=0,0,IF(G21="Matador",N21/Notes!$B$21*Notes!$B$22,N21/Notes!$B$23*Notes!$B$24))</f>
        <v>19.968</v>
      </c>
    </row>
    <row r="22" customFormat="false" ht="15" hidden="false" customHeight="false" outlineLevel="0" collapsed="false">
      <c r="A22" s="12" t="n">
        <v>45419</v>
      </c>
      <c r="B22" s="13" t="n">
        <v>0.767361111111111</v>
      </c>
      <c r="C22" s="5" t="s">
        <v>82</v>
      </c>
      <c r="D22" s="5" t="str">
        <f aca="false">VLOOKUP(C22,Areas!$A$2:$E$32,3,FALSE())</f>
        <v>South</v>
      </c>
      <c r="E22" s="5" t="s">
        <v>137</v>
      </c>
      <c r="F22" s="5" t="s">
        <v>140</v>
      </c>
      <c r="G22" s="5" t="str">
        <f aca="false">IF(F22="Large","Matador","Scooter")</f>
        <v>Matador</v>
      </c>
      <c r="H22" s="5" t="n">
        <f aca="false">VLOOKUP(C22,Areas!$A$2:$E$32,4,FALSE())</f>
        <v>11.5</v>
      </c>
      <c r="I22" s="5" t="n">
        <f aca="false">2*H22</f>
        <v>23</v>
      </c>
      <c r="J22" s="14" t="n">
        <f aca="false">IF(G22="Matador",I22/Notes!$B$21*Notes!$B$22,I22/Notes!$B$23*Notes!$B$24)</f>
        <v>123.524375</v>
      </c>
      <c r="K22" s="12" t="n">
        <f aca="false">IF(B22&lt;=Notes!$B$26,A22,IF(WEEKDAY(A22)=7,A22+2,A22+1))</f>
        <v>45420</v>
      </c>
      <c r="L22" s="5" t="str">
        <f aca="false">IF(K22=A22,"Yes","No")</f>
        <v>No</v>
      </c>
      <c r="M22" s="5" t="str">
        <f aca="false">IF(E22="Express","No","Yes")</f>
        <v>Yes</v>
      </c>
      <c r="N22" s="5" t="n">
        <f aca="false">IF(M22="No",2*H22,0)</f>
        <v>0</v>
      </c>
      <c r="O22" s="14" t="n">
        <f aca="false">IF(N22=0,0,IF(G22="Matador",N22/Notes!$B$21*Notes!$B$22,N22/Notes!$B$23*Notes!$B$24))</f>
        <v>0</v>
      </c>
    </row>
    <row r="23" customFormat="false" ht="15" hidden="false" customHeight="false" outlineLevel="0" collapsed="false">
      <c r="A23" s="12" t="n">
        <v>45419</v>
      </c>
      <c r="B23" s="13" t="n">
        <v>0.791666666666667</v>
      </c>
      <c r="C23" s="5" t="s">
        <v>71</v>
      </c>
      <c r="D23" s="5" t="str">
        <f aca="false">VLOOKUP(C23,Areas!$A$2:$E$32,3,FALSE())</f>
        <v>South</v>
      </c>
      <c r="E23" s="5" t="s">
        <v>137</v>
      </c>
      <c r="F23" s="5" t="s">
        <v>138</v>
      </c>
      <c r="G23" s="5" t="str">
        <f aca="false">IF(F23="Large","Matador","Scooter")</f>
        <v>Scooter</v>
      </c>
      <c r="H23" s="5" t="n">
        <f aca="false">VLOOKUP(C23,Areas!$A$2:$E$32,4,FALSE())</f>
        <v>4.5</v>
      </c>
      <c r="I23" s="5" t="n">
        <f aca="false">2*H23</f>
        <v>9</v>
      </c>
      <c r="J23" s="14" t="n">
        <f aca="false">IF(G23="Matador",I23/Notes!$B$21*Notes!$B$22,I23/Notes!$B$23*Notes!$B$24)</f>
        <v>19.968</v>
      </c>
      <c r="K23" s="12" t="n">
        <f aca="false">IF(B23&lt;=Notes!$B$26,A23,IF(WEEKDAY(A23)=7,A23+2,A23+1))</f>
        <v>45420</v>
      </c>
      <c r="L23" s="5" t="str">
        <f aca="false">IF(K23=A23,"Yes","No")</f>
        <v>No</v>
      </c>
      <c r="M23" s="5" t="str">
        <f aca="false">IF(E23="Express","No","Yes")</f>
        <v>Yes</v>
      </c>
      <c r="N23" s="5" t="n">
        <f aca="false">IF(M23="No",2*H23,0)</f>
        <v>0</v>
      </c>
      <c r="O23" s="14" t="n">
        <f aca="false">IF(N23=0,0,IF(G23="Matador",N23/Notes!$B$21*Notes!$B$22,N23/Notes!$B$23*Notes!$B$24))</f>
        <v>0</v>
      </c>
    </row>
    <row r="24" customFormat="false" ht="15" hidden="false" customHeight="false" outlineLevel="0" collapsed="false">
      <c r="A24" s="12" t="n">
        <v>45420</v>
      </c>
      <c r="B24" s="13" t="n">
        <v>0.40625</v>
      </c>
      <c r="C24" s="5" t="s">
        <v>69</v>
      </c>
      <c r="D24" s="5" t="str">
        <f aca="false">VLOOKUP(C24,Areas!$A$2:$E$32,3,FALSE())</f>
        <v>Central</v>
      </c>
      <c r="E24" s="5" t="s">
        <v>139</v>
      </c>
      <c r="F24" s="5" t="s">
        <v>140</v>
      </c>
      <c r="G24" s="5" t="str">
        <f aca="false">IF(F24="Large","Matador","Scooter")</f>
        <v>Matador</v>
      </c>
      <c r="H24" s="5" t="n">
        <f aca="false">VLOOKUP(C24,Areas!$A$2:$E$32,4,FALSE())</f>
        <v>4.5</v>
      </c>
      <c r="I24" s="5" t="n">
        <f aca="false">2*H24</f>
        <v>9</v>
      </c>
      <c r="J24" s="14" t="n">
        <f aca="false">IF(G24="Matador",I24/Notes!$B$21*Notes!$B$22,I24/Notes!$B$23*Notes!$B$24)</f>
        <v>48.335625</v>
      </c>
      <c r="K24" s="12" t="n">
        <f aca="false">IF(B24&lt;=Notes!$B$26,A24,IF(WEEKDAY(A24)=7,A24+2,A24+1))</f>
        <v>45420</v>
      </c>
      <c r="L24" s="5" t="str">
        <f aca="false">IF(K24=A24,"Yes","No")</f>
        <v>Yes</v>
      </c>
      <c r="M24" s="5" t="str">
        <f aca="false">IF(E24="Express","No","Yes")</f>
        <v>No</v>
      </c>
      <c r="N24" s="5" t="n">
        <f aca="false">IF(M24="No",2*H24,0)</f>
        <v>9</v>
      </c>
      <c r="O24" s="14" t="n">
        <f aca="false">IF(N24=0,0,IF(G24="Matador",N24/Notes!$B$21*Notes!$B$22,N24/Notes!$B$23*Notes!$B$24))</f>
        <v>48.335625</v>
      </c>
    </row>
    <row r="25" customFormat="false" ht="15" hidden="false" customHeight="false" outlineLevel="0" collapsed="false">
      <c r="A25" s="12" t="n">
        <v>45420</v>
      </c>
      <c r="B25" s="13" t="n">
        <v>0.444444444444444</v>
      </c>
      <c r="C25" s="5" t="s">
        <v>71</v>
      </c>
      <c r="D25" s="5" t="str">
        <f aca="false">VLOOKUP(C25,Areas!$A$2:$E$32,3,FALSE())</f>
        <v>South</v>
      </c>
      <c r="E25" s="5" t="s">
        <v>139</v>
      </c>
      <c r="F25" s="5" t="s">
        <v>140</v>
      </c>
      <c r="G25" s="5" t="str">
        <f aca="false">IF(F25="Large","Matador","Scooter")</f>
        <v>Matador</v>
      </c>
      <c r="H25" s="5" t="n">
        <f aca="false">VLOOKUP(C25,Areas!$A$2:$E$32,4,FALSE())</f>
        <v>4.5</v>
      </c>
      <c r="I25" s="5" t="n">
        <f aca="false">2*H25</f>
        <v>9</v>
      </c>
      <c r="J25" s="14" t="n">
        <f aca="false">IF(G25="Matador",I25/Notes!$B$21*Notes!$B$22,I25/Notes!$B$23*Notes!$B$24)</f>
        <v>48.335625</v>
      </c>
      <c r="K25" s="12" t="n">
        <f aca="false">IF(B25&lt;=Notes!$B$26,A25,IF(WEEKDAY(A25)=7,A25+2,A25+1))</f>
        <v>45420</v>
      </c>
      <c r="L25" s="5" t="str">
        <f aca="false">IF(K25=A25,"Yes","No")</f>
        <v>Yes</v>
      </c>
      <c r="M25" s="5" t="str">
        <f aca="false">IF(E25="Express","No","Yes")</f>
        <v>No</v>
      </c>
      <c r="N25" s="5" t="n">
        <f aca="false">IF(M25="No",2*H25,0)</f>
        <v>9</v>
      </c>
      <c r="O25" s="14" t="n">
        <f aca="false">IF(N25=0,0,IF(G25="Matador",N25/Notes!$B$21*Notes!$B$22,N25/Notes!$B$23*Notes!$B$24))</f>
        <v>48.335625</v>
      </c>
    </row>
    <row r="26" customFormat="false" ht="15" hidden="false" customHeight="false" outlineLevel="0" collapsed="false">
      <c r="A26" s="12" t="n">
        <v>45420</v>
      </c>
      <c r="B26" s="13" t="n">
        <v>0.548611111111111</v>
      </c>
      <c r="C26" s="5" t="s">
        <v>69</v>
      </c>
      <c r="D26" s="5" t="str">
        <f aca="false">VLOOKUP(C26,Areas!$A$2:$E$32,3,FALSE())</f>
        <v>Central</v>
      </c>
      <c r="E26" s="5" t="s">
        <v>137</v>
      </c>
      <c r="F26" s="5" t="s">
        <v>138</v>
      </c>
      <c r="G26" s="5" t="str">
        <f aca="false">IF(F26="Large","Matador","Scooter")</f>
        <v>Scooter</v>
      </c>
      <c r="H26" s="5" t="n">
        <f aca="false">VLOOKUP(C26,Areas!$A$2:$E$32,4,FALSE())</f>
        <v>4.5</v>
      </c>
      <c r="I26" s="5" t="n">
        <f aca="false">2*H26</f>
        <v>9</v>
      </c>
      <c r="J26" s="14" t="n">
        <f aca="false">IF(G26="Matador",I26/Notes!$B$21*Notes!$B$22,I26/Notes!$B$23*Notes!$B$24)</f>
        <v>19.968</v>
      </c>
      <c r="K26" s="12" t="n">
        <f aca="false">IF(B26&lt;=Notes!$B$26,A26,IF(WEEKDAY(A26)=7,A26+2,A26+1))</f>
        <v>45421</v>
      </c>
      <c r="L26" s="5" t="str">
        <f aca="false">IF(K26=A26,"Yes","No")</f>
        <v>No</v>
      </c>
      <c r="M26" s="5" t="str">
        <f aca="false">IF(E26="Express","No","Yes")</f>
        <v>Yes</v>
      </c>
      <c r="N26" s="5" t="n">
        <f aca="false">IF(M26="No",2*H26,0)</f>
        <v>0</v>
      </c>
      <c r="O26" s="14" t="n">
        <f aca="false">IF(N26=0,0,IF(G26="Matador",N26/Notes!$B$21*Notes!$B$22,N26/Notes!$B$23*Notes!$B$24))</f>
        <v>0</v>
      </c>
    </row>
    <row r="27" customFormat="false" ht="15" hidden="false" customHeight="false" outlineLevel="0" collapsed="false">
      <c r="A27" s="12" t="n">
        <v>45420</v>
      </c>
      <c r="B27" s="13" t="n">
        <v>0.559027777777778</v>
      </c>
      <c r="C27" s="5" t="s">
        <v>88</v>
      </c>
      <c r="D27" s="5" t="str">
        <f aca="false">VLOOKUP(C27,Areas!$A$2:$E$32,3,FALSE())</f>
        <v>West</v>
      </c>
      <c r="E27" s="5" t="s">
        <v>137</v>
      </c>
      <c r="F27" s="5" t="s">
        <v>140</v>
      </c>
      <c r="G27" s="5" t="str">
        <f aca="false">IF(F27="Large","Matador","Scooter")</f>
        <v>Matador</v>
      </c>
      <c r="H27" s="5" t="n">
        <f aca="false">VLOOKUP(C27,Areas!$A$2:$E$32,4,FALSE())</f>
        <v>5.5</v>
      </c>
      <c r="I27" s="5" t="n">
        <f aca="false">2*H27</f>
        <v>11</v>
      </c>
      <c r="J27" s="14" t="n">
        <f aca="false">IF(G27="Matador",I27/Notes!$B$21*Notes!$B$22,I27/Notes!$B$23*Notes!$B$24)</f>
        <v>59.076875</v>
      </c>
      <c r="K27" s="12" t="n">
        <f aca="false">IF(B27&lt;=Notes!$B$26,A27,IF(WEEKDAY(A27)=7,A27+2,A27+1))</f>
        <v>45421</v>
      </c>
      <c r="L27" s="5" t="str">
        <f aca="false">IF(K27=A27,"Yes","No")</f>
        <v>No</v>
      </c>
      <c r="M27" s="5" t="str">
        <f aca="false">IF(E27="Express","No","Yes")</f>
        <v>Yes</v>
      </c>
      <c r="N27" s="5" t="n">
        <f aca="false">IF(M27="No",2*H27,0)</f>
        <v>0</v>
      </c>
      <c r="O27" s="14" t="n">
        <f aca="false">IF(N27=0,0,IF(G27="Matador",N27/Notes!$B$21*Notes!$B$22,N27/Notes!$B$23*Notes!$B$24))</f>
        <v>0</v>
      </c>
    </row>
    <row r="28" customFormat="false" ht="15" hidden="false" customHeight="false" outlineLevel="0" collapsed="false">
      <c r="A28" s="12" t="n">
        <v>45420</v>
      </c>
      <c r="B28" s="13" t="n">
        <v>0.572916666666667</v>
      </c>
      <c r="C28" s="5" t="s">
        <v>121</v>
      </c>
      <c r="D28" s="5" t="str">
        <f aca="false">VLOOKUP(C28,Areas!$A$2:$E$32,3,FALSE())</f>
        <v>East</v>
      </c>
      <c r="E28" s="5" t="s">
        <v>139</v>
      </c>
      <c r="F28" s="5" t="s">
        <v>138</v>
      </c>
      <c r="G28" s="5" t="str">
        <f aca="false">IF(F28="Large","Matador","Scooter")</f>
        <v>Scooter</v>
      </c>
      <c r="H28" s="5" t="n">
        <f aca="false">VLOOKUP(C28,Areas!$A$2:$E$32,4,FALSE())</f>
        <v>24</v>
      </c>
      <c r="I28" s="5" t="n">
        <f aca="false">2*H28</f>
        <v>48</v>
      </c>
      <c r="J28" s="14" t="n">
        <f aca="false">IF(G28="Matador",I28/Notes!$B$21*Notes!$B$22,I28/Notes!$B$23*Notes!$B$24)</f>
        <v>106.496</v>
      </c>
      <c r="K28" s="12" t="n">
        <f aca="false">IF(B28&lt;=Notes!$B$26,A28,IF(WEEKDAY(A28)=7,A28+2,A28+1))</f>
        <v>45421</v>
      </c>
      <c r="L28" s="5" t="str">
        <f aca="false">IF(K28=A28,"Yes","No")</f>
        <v>No</v>
      </c>
      <c r="M28" s="5" t="str">
        <f aca="false">IF(E28="Express","No","Yes")</f>
        <v>No</v>
      </c>
      <c r="N28" s="5" t="n">
        <f aca="false">IF(M28="No",2*H28,0)</f>
        <v>48</v>
      </c>
      <c r="O28" s="14" t="n">
        <f aca="false">IF(N28=0,0,IF(G28="Matador",N28/Notes!$B$21*Notes!$B$22,N28/Notes!$B$23*Notes!$B$24))</f>
        <v>106.496</v>
      </c>
    </row>
    <row r="29" customFormat="false" ht="15" hidden="false" customHeight="false" outlineLevel="0" collapsed="false">
      <c r="A29" s="12" t="n">
        <v>45420</v>
      </c>
      <c r="B29" s="13" t="n">
        <v>0.576388888888889</v>
      </c>
      <c r="C29" s="5" t="s">
        <v>117</v>
      </c>
      <c r="D29" s="5" t="str">
        <f aca="false">VLOOKUP(C29,Areas!$A$2:$E$32,3,FALSE())</f>
        <v>East</v>
      </c>
      <c r="E29" s="5" t="s">
        <v>139</v>
      </c>
      <c r="F29" s="5" t="s">
        <v>140</v>
      </c>
      <c r="G29" s="5" t="str">
        <f aca="false">IF(F29="Large","Matador","Scooter")</f>
        <v>Matador</v>
      </c>
      <c r="H29" s="5" t="n">
        <f aca="false">VLOOKUP(C29,Areas!$A$2:$E$32,4,FALSE())</f>
        <v>19.5</v>
      </c>
      <c r="I29" s="5" t="n">
        <f aca="false">2*H29</f>
        <v>39</v>
      </c>
      <c r="J29" s="14" t="n">
        <f aca="false">IF(G29="Matador",I29/Notes!$B$21*Notes!$B$22,I29/Notes!$B$23*Notes!$B$24)</f>
        <v>209.454375</v>
      </c>
      <c r="K29" s="12" t="n">
        <f aca="false">IF(B29&lt;=Notes!$B$26,A29,IF(WEEKDAY(A29)=7,A29+2,A29+1))</f>
        <v>45421</v>
      </c>
      <c r="L29" s="5" t="str">
        <f aca="false">IF(K29=A29,"Yes","No")</f>
        <v>No</v>
      </c>
      <c r="M29" s="5" t="str">
        <f aca="false">IF(E29="Express","No","Yes")</f>
        <v>No</v>
      </c>
      <c r="N29" s="5" t="n">
        <f aca="false">IF(M29="No",2*H29,0)</f>
        <v>39</v>
      </c>
      <c r="O29" s="14" t="n">
        <f aca="false">IF(N29=0,0,IF(G29="Matador",N29/Notes!$B$21*Notes!$B$22,N29/Notes!$B$23*Notes!$B$24))</f>
        <v>209.454375</v>
      </c>
    </row>
    <row r="30" customFormat="false" ht="15" hidden="false" customHeight="false" outlineLevel="0" collapsed="false">
      <c r="A30" s="12" t="n">
        <v>45420</v>
      </c>
      <c r="B30" s="13" t="n">
        <v>0.677083333333333</v>
      </c>
      <c r="C30" s="5" t="s">
        <v>97</v>
      </c>
      <c r="D30" s="5" t="str">
        <f aca="false">VLOOKUP(C30,Areas!$A$2:$E$32,3,FALSE())</f>
        <v>West</v>
      </c>
      <c r="E30" s="5" t="s">
        <v>137</v>
      </c>
      <c r="F30" s="5" t="s">
        <v>138</v>
      </c>
      <c r="G30" s="5" t="str">
        <f aca="false">IF(F30="Large","Matador","Scooter")</f>
        <v>Scooter</v>
      </c>
      <c r="H30" s="5" t="n">
        <f aca="false">VLOOKUP(C30,Areas!$A$2:$E$32,4,FALSE())</f>
        <v>13.5</v>
      </c>
      <c r="I30" s="5" t="n">
        <f aca="false">2*H30</f>
        <v>27</v>
      </c>
      <c r="J30" s="14" t="n">
        <f aca="false">IF(G30="Matador",I30/Notes!$B$21*Notes!$B$22,I30/Notes!$B$23*Notes!$B$24)</f>
        <v>59.904</v>
      </c>
      <c r="K30" s="12" t="n">
        <f aca="false">IF(B30&lt;=Notes!$B$26,A30,IF(WEEKDAY(A30)=7,A30+2,A30+1))</f>
        <v>45421</v>
      </c>
      <c r="L30" s="5" t="str">
        <f aca="false">IF(K30=A30,"Yes","No")</f>
        <v>No</v>
      </c>
      <c r="M30" s="5" t="str">
        <f aca="false">IF(E30="Express","No","Yes")</f>
        <v>Yes</v>
      </c>
      <c r="N30" s="5" t="n">
        <f aca="false">IF(M30="No",2*H30,0)</f>
        <v>0</v>
      </c>
      <c r="O30" s="14" t="n">
        <f aca="false">IF(N30=0,0,IF(G30="Matador",N30/Notes!$B$21*Notes!$B$22,N30/Notes!$B$23*Notes!$B$24))</f>
        <v>0</v>
      </c>
    </row>
    <row r="31" customFormat="false" ht="15" hidden="false" customHeight="false" outlineLevel="0" collapsed="false">
      <c r="A31" s="12" t="n">
        <v>45420</v>
      </c>
      <c r="B31" s="13" t="n">
        <v>0.708333333333333</v>
      </c>
      <c r="C31" s="5" t="s">
        <v>106</v>
      </c>
      <c r="D31" s="5" t="str">
        <f aca="false">VLOOKUP(C31,Areas!$A$2:$E$32,3,FALSE())</f>
        <v>North</v>
      </c>
      <c r="E31" s="5" t="s">
        <v>137</v>
      </c>
      <c r="F31" s="5" t="s">
        <v>138</v>
      </c>
      <c r="G31" s="5" t="str">
        <f aca="false">IF(F31="Large","Matador","Scooter")</f>
        <v>Scooter</v>
      </c>
      <c r="H31" s="5" t="n">
        <f aca="false">VLOOKUP(C31,Areas!$A$2:$E$32,4,FALSE())</f>
        <v>10.5</v>
      </c>
      <c r="I31" s="5" t="n">
        <f aca="false">2*H31</f>
        <v>21</v>
      </c>
      <c r="J31" s="14" t="n">
        <f aca="false">IF(G31="Matador",I31/Notes!$B$21*Notes!$B$22,I31/Notes!$B$23*Notes!$B$24)</f>
        <v>46.592</v>
      </c>
      <c r="K31" s="12" t="n">
        <f aca="false">IF(B31&lt;=Notes!$B$26,A31,IF(WEEKDAY(A31)=7,A31+2,A31+1))</f>
        <v>45421</v>
      </c>
      <c r="L31" s="5" t="str">
        <f aca="false">IF(K31=A31,"Yes","No")</f>
        <v>No</v>
      </c>
      <c r="M31" s="5" t="str">
        <f aca="false">IF(E31="Express","No","Yes")</f>
        <v>Yes</v>
      </c>
      <c r="N31" s="5" t="n">
        <f aca="false">IF(M31="No",2*H31,0)</f>
        <v>0</v>
      </c>
      <c r="O31" s="14" t="n">
        <f aca="false">IF(N31=0,0,IF(G31="Matador",N31/Notes!$B$21*Notes!$B$22,N31/Notes!$B$23*Notes!$B$24))</f>
        <v>0</v>
      </c>
    </row>
    <row r="32" customFormat="false" ht="15" hidden="false" customHeight="false" outlineLevel="0" collapsed="false">
      <c r="A32" s="12" t="n">
        <v>45420</v>
      </c>
      <c r="B32" s="13" t="n">
        <v>0.774305555555556</v>
      </c>
      <c r="C32" s="5" t="s">
        <v>69</v>
      </c>
      <c r="D32" s="5" t="str">
        <f aca="false">VLOOKUP(C32,Areas!$A$2:$E$32,3,FALSE())</f>
        <v>Central</v>
      </c>
      <c r="E32" s="5" t="s">
        <v>139</v>
      </c>
      <c r="F32" s="5" t="s">
        <v>140</v>
      </c>
      <c r="G32" s="5" t="str">
        <f aca="false">IF(F32="Large","Matador","Scooter")</f>
        <v>Matador</v>
      </c>
      <c r="H32" s="5" t="n">
        <f aca="false">VLOOKUP(C32,Areas!$A$2:$E$32,4,FALSE())</f>
        <v>4.5</v>
      </c>
      <c r="I32" s="5" t="n">
        <f aca="false">2*H32</f>
        <v>9</v>
      </c>
      <c r="J32" s="14" t="n">
        <f aca="false">IF(G32="Matador",I32/Notes!$B$21*Notes!$B$22,I32/Notes!$B$23*Notes!$B$24)</f>
        <v>48.335625</v>
      </c>
      <c r="K32" s="12" t="n">
        <f aca="false">IF(B32&lt;=Notes!$B$26,A32,IF(WEEKDAY(A32)=7,A32+2,A32+1))</f>
        <v>45421</v>
      </c>
      <c r="L32" s="5" t="str">
        <f aca="false">IF(K32=A32,"Yes","No")</f>
        <v>No</v>
      </c>
      <c r="M32" s="5" t="str">
        <f aca="false">IF(E32="Express","No","Yes")</f>
        <v>No</v>
      </c>
      <c r="N32" s="5" t="n">
        <f aca="false">IF(M32="No",2*H32,0)</f>
        <v>9</v>
      </c>
      <c r="O32" s="14" t="n">
        <f aca="false">IF(N32=0,0,IF(G32="Matador",N32/Notes!$B$21*Notes!$B$22,N32/Notes!$B$23*Notes!$B$24))</f>
        <v>48.335625</v>
      </c>
    </row>
    <row r="33" customFormat="false" ht="15" hidden="false" customHeight="false" outlineLevel="0" collapsed="false">
      <c r="A33" s="12" t="n">
        <v>45420</v>
      </c>
      <c r="B33" s="13" t="n">
        <v>0.788194444444444</v>
      </c>
      <c r="C33" s="5" t="s">
        <v>88</v>
      </c>
      <c r="D33" s="5" t="str">
        <f aca="false">VLOOKUP(C33,Areas!$A$2:$E$32,3,FALSE())</f>
        <v>West</v>
      </c>
      <c r="E33" s="5" t="s">
        <v>139</v>
      </c>
      <c r="F33" s="5" t="s">
        <v>140</v>
      </c>
      <c r="G33" s="5" t="str">
        <f aca="false">IF(F33="Large","Matador","Scooter")</f>
        <v>Matador</v>
      </c>
      <c r="H33" s="5" t="n">
        <f aca="false">VLOOKUP(C33,Areas!$A$2:$E$32,4,FALSE())</f>
        <v>5.5</v>
      </c>
      <c r="I33" s="5" t="n">
        <f aca="false">2*H33</f>
        <v>11</v>
      </c>
      <c r="J33" s="14" t="n">
        <f aca="false">IF(G33="Matador",I33/Notes!$B$21*Notes!$B$22,I33/Notes!$B$23*Notes!$B$24)</f>
        <v>59.076875</v>
      </c>
      <c r="K33" s="12" t="n">
        <f aca="false">IF(B33&lt;=Notes!$B$26,A33,IF(WEEKDAY(A33)=7,A33+2,A33+1))</f>
        <v>45421</v>
      </c>
      <c r="L33" s="5" t="str">
        <f aca="false">IF(K33=A33,"Yes","No")</f>
        <v>No</v>
      </c>
      <c r="M33" s="5" t="str">
        <f aca="false">IF(E33="Express","No","Yes")</f>
        <v>No</v>
      </c>
      <c r="N33" s="5" t="n">
        <f aca="false">IF(M33="No",2*H33,0)</f>
        <v>11</v>
      </c>
      <c r="O33" s="14" t="n">
        <f aca="false">IF(N33=0,0,IF(G33="Matador",N33/Notes!$B$21*Notes!$B$22,N33/Notes!$B$23*Notes!$B$24))</f>
        <v>59.076875</v>
      </c>
    </row>
    <row r="34" customFormat="false" ht="15" hidden="false" customHeight="false" outlineLevel="0" collapsed="false">
      <c r="A34" s="12" t="n">
        <v>45421</v>
      </c>
      <c r="B34" s="13" t="n">
        <v>0.479166666666667</v>
      </c>
      <c r="C34" s="5" t="s">
        <v>58</v>
      </c>
      <c r="D34" s="5" t="str">
        <f aca="false">VLOOKUP(C34,Areas!$A$2:$E$32,3,FALSE())</f>
        <v>Central</v>
      </c>
      <c r="E34" s="5" t="s">
        <v>137</v>
      </c>
      <c r="F34" s="5" t="s">
        <v>138</v>
      </c>
      <c r="G34" s="5" t="str">
        <f aca="false">IF(F34="Large","Matador","Scooter")</f>
        <v>Scooter</v>
      </c>
      <c r="H34" s="5" t="n">
        <f aca="false">VLOOKUP(C34,Areas!$A$2:$E$32,4,FALSE())</f>
        <v>2</v>
      </c>
      <c r="I34" s="5" t="n">
        <f aca="false">2*H34</f>
        <v>4</v>
      </c>
      <c r="J34" s="14" t="n">
        <f aca="false">IF(G34="Matador",I34/Notes!$B$21*Notes!$B$22,I34/Notes!$B$23*Notes!$B$24)</f>
        <v>8.87466666666667</v>
      </c>
      <c r="K34" s="12" t="n">
        <f aca="false">IF(B34&lt;=Notes!$B$26,A34,IF(WEEKDAY(A34)=7,A34+2,A34+1))</f>
        <v>45421</v>
      </c>
      <c r="L34" s="5" t="str">
        <f aca="false">IF(K34=A34,"Yes","No")</f>
        <v>Yes</v>
      </c>
      <c r="M34" s="5" t="str">
        <f aca="false">IF(E34="Express","No","Yes")</f>
        <v>Yes</v>
      </c>
      <c r="N34" s="5" t="n">
        <f aca="false">IF(M34="No",2*H34,0)</f>
        <v>0</v>
      </c>
      <c r="O34" s="14" t="n">
        <f aca="false">IF(N34=0,0,IF(G34="Matador",N34/Notes!$B$21*Notes!$B$22,N34/Notes!$B$23*Notes!$B$24))</f>
        <v>0</v>
      </c>
    </row>
    <row r="35" customFormat="false" ht="15" hidden="false" customHeight="false" outlineLevel="0" collapsed="false">
      <c r="A35" s="12" t="n">
        <v>45421</v>
      </c>
      <c r="B35" s="13" t="n">
        <v>0.506944444444444</v>
      </c>
      <c r="C35" s="5" t="s">
        <v>80</v>
      </c>
      <c r="D35" s="5" t="str">
        <f aca="false">VLOOKUP(C35,Areas!$A$2:$E$32,3,FALSE())</f>
        <v>South</v>
      </c>
      <c r="E35" s="5" t="s">
        <v>137</v>
      </c>
      <c r="F35" s="5" t="s">
        <v>138</v>
      </c>
      <c r="G35" s="5" t="str">
        <f aca="false">IF(F35="Large","Matador","Scooter")</f>
        <v>Scooter</v>
      </c>
      <c r="H35" s="5" t="n">
        <f aca="false">VLOOKUP(C35,Areas!$A$2:$E$32,4,FALSE())</f>
        <v>9.5</v>
      </c>
      <c r="I35" s="5" t="n">
        <f aca="false">2*H35</f>
        <v>19</v>
      </c>
      <c r="J35" s="14" t="n">
        <f aca="false">IF(G35="Matador",I35/Notes!$B$21*Notes!$B$22,I35/Notes!$B$23*Notes!$B$24)</f>
        <v>42.1546666666667</v>
      </c>
      <c r="K35" s="12" t="n">
        <f aca="false">IF(B35&lt;=Notes!$B$26,A35,IF(WEEKDAY(A35)=7,A35+2,A35+1))</f>
        <v>45421</v>
      </c>
      <c r="L35" s="5" t="str">
        <f aca="false">IF(K35=A35,"Yes","No")</f>
        <v>Yes</v>
      </c>
      <c r="M35" s="5" t="str">
        <f aca="false">IF(E35="Express","No","Yes")</f>
        <v>Yes</v>
      </c>
      <c r="N35" s="5" t="n">
        <f aca="false">IF(M35="No",2*H35,0)</f>
        <v>0</v>
      </c>
      <c r="O35" s="14" t="n">
        <f aca="false">IF(N35=0,0,IF(G35="Matador",N35/Notes!$B$21*Notes!$B$22,N35/Notes!$B$23*Notes!$B$24))</f>
        <v>0</v>
      </c>
    </row>
    <row r="36" customFormat="false" ht="15" hidden="false" customHeight="false" outlineLevel="0" collapsed="false">
      <c r="A36" s="12" t="n">
        <v>45421</v>
      </c>
      <c r="B36" s="13" t="n">
        <v>0.538194444444444</v>
      </c>
      <c r="C36" s="5" t="s">
        <v>119</v>
      </c>
      <c r="D36" s="5" t="str">
        <f aca="false">VLOOKUP(C36,Areas!$A$2:$E$32,3,FALSE())</f>
        <v>East</v>
      </c>
      <c r="E36" s="5" t="s">
        <v>137</v>
      </c>
      <c r="F36" s="5" t="s">
        <v>140</v>
      </c>
      <c r="G36" s="5" t="str">
        <f aca="false">IF(F36="Large","Matador","Scooter")</f>
        <v>Matador</v>
      </c>
      <c r="H36" s="5" t="n">
        <f aca="false">VLOOKUP(C36,Areas!$A$2:$E$32,4,FALSE())</f>
        <v>18</v>
      </c>
      <c r="I36" s="5" t="n">
        <f aca="false">2*H36</f>
        <v>36</v>
      </c>
      <c r="J36" s="14" t="n">
        <f aca="false">IF(G36="Matador",I36/Notes!$B$21*Notes!$B$22,I36/Notes!$B$23*Notes!$B$24)</f>
        <v>193.3425</v>
      </c>
      <c r="K36" s="12" t="n">
        <f aca="false">IF(B36&lt;=Notes!$B$26,A36,IF(WEEKDAY(A36)=7,A36+2,A36+1))</f>
        <v>45421</v>
      </c>
      <c r="L36" s="5" t="str">
        <f aca="false">IF(K36=A36,"Yes","No")</f>
        <v>Yes</v>
      </c>
      <c r="M36" s="5" t="str">
        <f aca="false">IF(E36="Express","No","Yes")</f>
        <v>Yes</v>
      </c>
      <c r="N36" s="5" t="n">
        <f aca="false">IF(M36="No",2*H36,0)</f>
        <v>0</v>
      </c>
      <c r="O36" s="14" t="n">
        <f aca="false">IF(N36=0,0,IF(G36="Matador",N36/Notes!$B$21*Notes!$B$22,N36/Notes!$B$23*Notes!$B$24))</f>
        <v>0</v>
      </c>
    </row>
    <row r="37" customFormat="false" ht="15" hidden="false" customHeight="false" outlineLevel="0" collapsed="false">
      <c r="A37" s="12" t="n">
        <v>45421</v>
      </c>
      <c r="B37" s="13" t="n">
        <v>0.552083333333333</v>
      </c>
      <c r="C37" s="5" t="s">
        <v>106</v>
      </c>
      <c r="D37" s="5" t="str">
        <f aca="false">VLOOKUP(C37,Areas!$A$2:$E$32,3,FALSE())</f>
        <v>North</v>
      </c>
      <c r="E37" s="5" t="s">
        <v>137</v>
      </c>
      <c r="F37" s="5" t="s">
        <v>138</v>
      </c>
      <c r="G37" s="5" t="str">
        <f aca="false">IF(F37="Large","Matador","Scooter")</f>
        <v>Scooter</v>
      </c>
      <c r="H37" s="5" t="n">
        <f aca="false">VLOOKUP(C37,Areas!$A$2:$E$32,4,FALSE())</f>
        <v>10.5</v>
      </c>
      <c r="I37" s="5" t="n">
        <f aca="false">2*H37</f>
        <v>21</v>
      </c>
      <c r="J37" s="14" t="n">
        <f aca="false">IF(G37="Matador",I37/Notes!$B$21*Notes!$B$22,I37/Notes!$B$23*Notes!$B$24)</f>
        <v>46.592</v>
      </c>
      <c r="K37" s="12" t="n">
        <f aca="false">IF(B37&lt;=Notes!$B$26,A37,IF(WEEKDAY(A37)=7,A37+2,A37+1))</f>
        <v>45422</v>
      </c>
      <c r="L37" s="5" t="str">
        <f aca="false">IF(K37=A37,"Yes","No")</f>
        <v>No</v>
      </c>
      <c r="M37" s="5" t="str">
        <f aca="false">IF(E37="Express","No","Yes")</f>
        <v>Yes</v>
      </c>
      <c r="N37" s="5" t="n">
        <f aca="false">IF(M37="No",2*H37,0)</f>
        <v>0</v>
      </c>
      <c r="O37" s="14" t="n">
        <f aca="false">IF(N37=0,0,IF(G37="Matador",N37/Notes!$B$21*Notes!$B$22,N37/Notes!$B$23*Notes!$B$24))</f>
        <v>0</v>
      </c>
    </row>
    <row r="38" customFormat="false" ht="15" hidden="false" customHeight="false" outlineLevel="0" collapsed="false">
      <c r="A38" s="12" t="n">
        <v>45421</v>
      </c>
      <c r="B38" s="13" t="n">
        <v>0.614583333333333</v>
      </c>
      <c r="C38" s="5" t="s">
        <v>95</v>
      </c>
      <c r="D38" s="5" t="str">
        <f aca="false">VLOOKUP(C38,Areas!$A$2:$E$32,3,FALSE())</f>
        <v>West</v>
      </c>
      <c r="E38" s="5" t="s">
        <v>137</v>
      </c>
      <c r="F38" s="5" t="s">
        <v>138</v>
      </c>
      <c r="G38" s="5" t="str">
        <f aca="false">IF(F38="Large","Matador","Scooter")</f>
        <v>Scooter</v>
      </c>
      <c r="H38" s="5" t="n">
        <f aca="false">VLOOKUP(C38,Areas!$A$2:$E$32,4,FALSE())</f>
        <v>9</v>
      </c>
      <c r="I38" s="5" t="n">
        <f aca="false">2*H38</f>
        <v>18</v>
      </c>
      <c r="J38" s="14" t="n">
        <f aca="false">IF(G38="Matador",I38/Notes!$B$21*Notes!$B$22,I38/Notes!$B$23*Notes!$B$24)</f>
        <v>39.936</v>
      </c>
      <c r="K38" s="12" t="n">
        <f aca="false">IF(B38&lt;=Notes!$B$26,A38,IF(WEEKDAY(A38)=7,A38+2,A38+1))</f>
        <v>45422</v>
      </c>
      <c r="L38" s="5" t="str">
        <f aca="false">IF(K38=A38,"Yes","No")</f>
        <v>No</v>
      </c>
      <c r="M38" s="5" t="str">
        <f aca="false">IF(E38="Express","No","Yes")</f>
        <v>Yes</v>
      </c>
      <c r="N38" s="5" t="n">
        <f aca="false">IF(M38="No",2*H38,0)</f>
        <v>0</v>
      </c>
      <c r="O38" s="14" t="n">
        <f aca="false">IF(N38=0,0,IF(G38="Matador",N38/Notes!$B$21*Notes!$B$22,N38/Notes!$B$23*Notes!$B$24))</f>
        <v>0</v>
      </c>
    </row>
    <row r="39" customFormat="false" ht="15" hidden="false" customHeight="false" outlineLevel="0" collapsed="false">
      <c r="A39" s="12" t="n">
        <v>45421</v>
      </c>
      <c r="B39" s="13" t="n">
        <v>0.635416666666667</v>
      </c>
      <c r="C39" s="5" t="s">
        <v>76</v>
      </c>
      <c r="D39" s="5" t="str">
        <f aca="false">VLOOKUP(C39,Areas!$A$2:$E$32,3,FALSE())</f>
        <v>South</v>
      </c>
      <c r="E39" s="5" t="s">
        <v>137</v>
      </c>
      <c r="F39" s="5" t="s">
        <v>140</v>
      </c>
      <c r="G39" s="5" t="str">
        <f aca="false">IF(F39="Large","Matador","Scooter")</f>
        <v>Matador</v>
      </c>
      <c r="H39" s="5" t="n">
        <f aca="false">VLOOKUP(C39,Areas!$A$2:$E$32,4,FALSE())</f>
        <v>7</v>
      </c>
      <c r="I39" s="5" t="n">
        <f aca="false">2*H39</f>
        <v>14</v>
      </c>
      <c r="J39" s="14" t="n">
        <f aca="false">IF(G39="Matador",I39/Notes!$B$21*Notes!$B$22,I39/Notes!$B$23*Notes!$B$24)</f>
        <v>75.18875</v>
      </c>
      <c r="K39" s="12" t="n">
        <f aca="false">IF(B39&lt;=Notes!$B$26,A39,IF(WEEKDAY(A39)=7,A39+2,A39+1))</f>
        <v>45422</v>
      </c>
      <c r="L39" s="5" t="str">
        <f aca="false">IF(K39=A39,"Yes","No")</f>
        <v>No</v>
      </c>
      <c r="M39" s="5" t="str">
        <f aca="false">IF(E39="Express","No","Yes")</f>
        <v>Yes</v>
      </c>
      <c r="N39" s="5" t="n">
        <f aca="false">IF(M39="No",2*H39,0)</f>
        <v>0</v>
      </c>
      <c r="O39" s="14" t="n">
        <f aca="false">IF(N39=0,0,IF(G39="Matador",N39/Notes!$B$21*Notes!$B$22,N39/Notes!$B$23*Notes!$B$24))</f>
        <v>0</v>
      </c>
    </row>
    <row r="40" customFormat="false" ht="15" hidden="false" customHeight="false" outlineLevel="0" collapsed="false">
      <c r="A40" s="12" t="n">
        <v>45421</v>
      </c>
      <c r="B40" s="13" t="n">
        <v>0.645833333333333</v>
      </c>
      <c r="C40" s="5" t="s">
        <v>108</v>
      </c>
      <c r="D40" s="5" t="str">
        <f aca="false">VLOOKUP(C40,Areas!$A$2:$E$32,3,FALSE())</f>
        <v>North</v>
      </c>
      <c r="E40" s="5" t="s">
        <v>137</v>
      </c>
      <c r="F40" s="5" t="s">
        <v>138</v>
      </c>
      <c r="G40" s="5" t="str">
        <f aca="false">IF(F40="Large","Matador","Scooter")</f>
        <v>Scooter</v>
      </c>
      <c r="H40" s="5" t="n">
        <f aca="false">VLOOKUP(C40,Areas!$A$2:$E$32,4,FALSE())</f>
        <v>14.5</v>
      </c>
      <c r="I40" s="5" t="n">
        <f aca="false">2*H40</f>
        <v>29</v>
      </c>
      <c r="J40" s="14" t="n">
        <f aca="false">IF(G40="Matador",I40/Notes!$B$21*Notes!$B$22,I40/Notes!$B$23*Notes!$B$24)</f>
        <v>64.3413333333333</v>
      </c>
      <c r="K40" s="12" t="n">
        <f aca="false">IF(B40&lt;=Notes!$B$26,A40,IF(WEEKDAY(A40)=7,A40+2,A40+1))</f>
        <v>45422</v>
      </c>
      <c r="L40" s="5" t="str">
        <f aca="false">IF(K40=A40,"Yes","No")</f>
        <v>No</v>
      </c>
      <c r="M40" s="5" t="str">
        <f aca="false">IF(E40="Express","No","Yes")</f>
        <v>Yes</v>
      </c>
      <c r="N40" s="5" t="n">
        <f aca="false">IF(M40="No",2*H40,0)</f>
        <v>0</v>
      </c>
      <c r="O40" s="14" t="n">
        <f aca="false">IF(N40=0,0,IF(G40="Matador",N40/Notes!$B$21*Notes!$B$22,N40/Notes!$B$23*Notes!$B$24))</f>
        <v>0</v>
      </c>
    </row>
    <row r="41" customFormat="false" ht="15" hidden="false" customHeight="false" outlineLevel="0" collapsed="false">
      <c r="A41" s="12" t="n">
        <v>45421</v>
      </c>
      <c r="B41" s="13" t="n">
        <v>0.663194444444444</v>
      </c>
      <c r="C41" s="5" t="s">
        <v>102</v>
      </c>
      <c r="D41" s="5" t="str">
        <f aca="false">VLOOKUP(C41,Areas!$A$2:$E$32,3,FALSE())</f>
        <v>North</v>
      </c>
      <c r="E41" s="5" t="s">
        <v>137</v>
      </c>
      <c r="F41" s="5" t="s">
        <v>138</v>
      </c>
      <c r="G41" s="5" t="str">
        <f aca="false">IF(F41="Large","Matador","Scooter")</f>
        <v>Scooter</v>
      </c>
      <c r="H41" s="5" t="n">
        <f aca="false">VLOOKUP(C41,Areas!$A$2:$E$32,4,FALSE())</f>
        <v>11</v>
      </c>
      <c r="I41" s="5" t="n">
        <f aca="false">2*H41</f>
        <v>22</v>
      </c>
      <c r="J41" s="14" t="n">
        <f aca="false">IF(G41="Matador",I41/Notes!$B$21*Notes!$B$22,I41/Notes!$B$23*Notes!$B$24)</f>
        <v>48.8106666666667</v>
      </c>
      <c r="K41" s="12" t="n">
        <f aca="false">IF(B41&lt;=Notes!$B$26,A41,IF(WEEKDAY(A41)=7,A41+2,A41+1))</f>
        <v>45422</v>
      </c>
      <c r="L41" s="5" t="str">
        <f aca="false">IF(K41=A41,"Yes","No")</f>
        <v>No</v>
      </c>
      <c r="M41" s="5" t="str">
        <f aca="false">IF(E41="Express","No","Yes")</f>
        <v>Yes</v>
      </c>
      <c r="N41" s="5" t="n">
        <f aca="false">IF(M41="No",2*H41,0)</f>
        <v>0</v>
      </c>
      <c r="O41" s="14" t="n">
        <f aca="false">IF(N41=0,0,IF(G41="Matador",N41/Notes!$B$21*Notes!$B$22,N41/Notes!$B$23*Notes!$B$24))</f>
        <v>0</v>
      </c>
    </row>
    <row r="42" customFormat="false" ht="15" hidden="false" customHeight="false" outlineLevel="0" collapsed="false">
      <c r="A42" s="12" t="n">
        <v>45422</v>
      </c>
      <c r="B42" s="13" t="n">
        <v>0.416666666666667</v>
      </c>
      <c r="C42" s="5" t="s">
        <v>91</v>
      </c>
      <c r="D42" s="5" t="str">
        <f aca="false">VLOOKUP(C42,Areas!$A$2:$E$32,3,FALSE())</f>
        <v>West</v>
      </c>
      <c r="E42" s="5" t="s">
        <v>137</v>
      </c>
      <c r="F42" s="5" t="s">
        <v>138</v>
      </c>
      <c r="G42" s="5" t="str">
        <f aca="false">IF(F42="Large","Matador","Scooter")</f>
        <v>Scooter</v>
      </c>
      <c r="H42" s="5" t="n">
        <f aca="false">VLOOKUP(C42,Areas!$A$2:$E$32,4,FALSE())</f>
        <v>4.5</v>
      </c>
      <c r="I42" s="5" t="n">
        <f aca="false">2*H42</f>
        <v>9</v>
      </c>
      <c r="J42" s="14" t="n">
        <f aca="false">IF(G42="Matador",I42/Notes!$B$21*Notes!$B$22,I42/Notes!$B$23*Notes!$B$24)</f>
        <v>19.968</v>
      </c>
      <c r="K42" s="12" t="n">
        <f aca="false">IF(B42&lt;=Notes!$B$26,A42,IF(WEEKDAY(A42)=7,A42+2,A42+1))</f>
        <v>45422</v>
      </c>
      <c r="L42" s="5" t="str">
        <f aca="false">IF(K42=A42,"Yes","No")</f>
        <v>Yes</v>
      </c>
      <c r="M42" s="5" t="str">
        <f aca="false">IF(E42="Express","No","Yes")</f>
        <v>Yes</v>
      </c>
      <c r="N42" s="5" t="n">
        <f aca="false">IF(M42="No",2*H42,0)</f>
        <v>0</v>
      </c>
      <c r="O42" s="14" t="n">
        <f aca="false">IF(N42=0,0,IF(G42="Matador",N42/Notes!$B$21*Notes!$B$22,N42/Notes!$B$23*Notes!$B$24))</f>
        <v>0</v>
      </c>
    </row>
    <row r="43" customFormat="false" ht="15" hidden="false" customHeight="false" outlineLevel="0" collapsed="false">
      <c r="A43" s="12" t="n">
        <v>45422</v>
      </c>
      <c r="B43" s="13" t="n">
        <v>0.513888888888889</v>
      </c>
      <c r="C43" s="5" t="s">
        <v>112</v>
      </c>
      <c r="D43" s="5" t="str">
        <f aca="false">VLOOKUP(C43,Areas!$A$2:$E$32,3,FALSE())</f>
        <v>East</v>
      </c>
      <c r="E43" s="5" t="s">
        <v>137</v>
      </c>
      <c r="F43" s="5" t="s">
        <v>140</v>
      </c>
      <c r="G43" s="5" t="str">
        <f aca="false">IF(F43="Large","Matador","Scooter")</f>
        <v>Matador</v>
      </c>
      <c r="H43" s="5" t="n">
        <f aca="false">VLOOKUP(C43,Areas!$A$2:$E$32,4,FALSE())</f>
        <v>10</v>
      </c>
      <c r="I43" s="5" t="n">
        <f aca="false">2*H43</f>
        <v>20</v>
      </c>
      <c r="J43" s="14" t="n">
        <f aca="false">IF(G43="Matador",I43/Notes!$B$21*Notes!$B$22,I43/Notes!$B$23*Notes!$B$24)</f>
        <v>107.4125</v>
      </c>
      <c r="K43" s="12" t="n">
        <f aca="false">IF(B43&lt;=Notes!$B$26,A43,IF(WEEKDAY(A43)=7,A43+2,A43+1))</f>
        <v>45422</v>
      </c>
      <c r="L43" s="5" t="str">
        <f aca="false">IF(K43=A43,"Yes","No")</f>
        <v>Yes</v>
      </c>
      <c r="M43" s="5" t="str">
        <f aca="false">IF(E43="Express","No","Yes")</f>
        <v>Yes</v>
      </c>
      <c r="N43" s="5" t="n">
        <f aca="false">IF(M43="No",2*H43,0)</f>
        <v>0</v>
      </c>
      <c r="O43" s="14" t="n">
        <f aca="false">IF(N43=0,0,IF(G43="Matador",N43/Notes!$B$21*Notes!$B$22,N43/Notes!$B$23*Notes!$B$24))</f>
        <v>0</v>
      </c>
    </row>
    <row r="44" customFormat="false" ht="15" hidden="false" customHeight="false" outlineLevel="0" collapsed="false">
      <c r="A44" s="12" t="n">
        <v>45422</v>
      </c>
      <c r="B44" s="13" t="n">
        <v>0.53125</v>
      </c>
      <c r="C44" s="5" t="s">
        <v>74</v>
      </c>
      <c r="D44" s="5" t="str">
        <f aca="false">VLOOKUP(C44,Areas!$A$2:$E$32,3,FALSE())</f>
        <v>South</v>
      </c>
      <c r="E44" s="5" t="s">
        <v>137</v>
      </c>
      <c r="F44" s="5" t="s">
        <v>140</v>
      </c>
      <c r="G44" s="5" t="str">
        <f aca="false">IF(F44="Large","Matador","Scooter")</f>
        <v>Matador</v>
      </c>
      <c r="H44" s="5" t="n">
        <f aca="false">VLOOKUP(C44,Areas!$A$2:$E$32,4,FALSE())</f>
        <v>2.5</v>
      </c>
      <c r="I44" s="5" t="n">
        <f aca="false">2*H44</f>
        <v>5</v>
      </c>
      <c r="J44" s="14" t="n">
        <f aca="false">IF(G44="Matador",I44/Notes!$B$21*Notes!$B$22,I44/Notes!$B$23*Notes!$B$24)</f>
        <v>26.853125</v>
      </c>
      <c r="K44" s="12" t="n">
        <f aca="false">IF(B44&lt;=Notes!$B$26,A44,IF(WEEKDAY(A44)=7,A44+2,A44+1))</f>
        <v>45422</v>
      </c>
      <c r="L44" s="5" t="str">
        <f aca="false">IF(K44=A44,"Yes","No")</f>
        <v>Yes</v>
      </c>
      <c r="M44" s="5" t="str">
        <f aca="false">IF(E44="Express","No","Yes")</f>
        <v>Yes</v>
      </c>
      <c r="N44" s="5" t="n">
        <f aca="false">IF(M44="No",2*H44,0)</f>
        <v>0</v>
      </c>
      <c r="O44" s="14" t="n">
        <f aca="false">IF(N44=0,0,IF(G44="Matador",N44/Notes!$B$21*Notes!$B$22,N44/Notes!$B$23*Notes!$B$24))</f>
        <v>0</v>
      </c>
    </row>
    <row r="45" customFormat="false" ht="15" hidden="false" customHeight="false" outlineLevel="0" collapsed="false">
      <c r="A45" s="12" t="n">
        <v>45422</v>
      </c>
      <c r="B45" s="13" t="n">
        <v>0.538194444444444</v>
      </c>
      <c r="C45" s="5" t="s">
        <v>88</v>
      </c>
      <c r="D45" s="5" t="str">
        <f aca="false">VLOOKUP(C45,Areas!$A$2:$E$32,3,FALSE())</f>
        <v>West</v>
      </c>
      <c r="E45" s="5" t="s">
        <v>137</v>
      </c>
      <c r="F45" s="5" t="s">
        <v>138</v>
      </c>
      <c r="G45" s="5" t="str">
        <f aca="false">IF(F45="Large","Matador","Scooter")</f>
        <v>Scooter</v>
      </c>
      <c r="H45" s="5" t="n">
        <f aca="false">VLOOKUP(C45,Areas!$A$2:$E$32,4,FALSE())</f>
        <v>5.5</v>
      </c>
      <c r="I45" s="5" t="n">
        <f aca="false">2*H45</f>
        <v>11</v>
      </c>
      <c r="J45" s="14" t="n">
        <f aca="false">IF(G45="Matador",I45/Notes!$B$21*Notes!$B$22,I45/Notes!$B$23*Notes!$B$24)</f>
        <v>24.4053333333333</v>
      </c>
      <c r="K45" s="12" t="n">
        <f aca="false">IF(B45&lt;=Notes!$B$26,A45,IF(WEEKDAY(A45)=7,A45+2,A45+1))</f>
        <v>45422</v>
      </c>
      <c r="L45" s="5" t="str">
        <f aca="false">IF(K45=A45,"Yes","No")</f>
        <v>Yes</v>
      </c>
      <c r="M45" s="5" t="str">
        <f aca="false">IF(E45="Express","No","Yes")</f>
        <v>Yes</v>
      </c>
      <c r="N45" s="5" t="n">
        <f aca="false">IF(M45="No",2*H45,0)</f>
        <v>0</v>
      </c>
      <c r="O45" s="14" t="n">
        <f aca="false">IF(N45=0,0,IF(G45="Matador",N45/Notes!$B$21*Notes!$B$22,N45/Notes!$B$23*Notes!$B$24))</f>
        <v>0</v>
      </c>
    </row>
    <row r="46" customFormat="false" ht="15" hidden="false" customHeight="false" outlineLevel="0" collapsed="false">
      <c r="A46" s="12" t="n">
        <v>45422</v>
      </c>
      <c r="B46" s="13" t="n">
        <v>0.545138888888889</v>
      </c>
      <c r="C46" s="5" t="s">
        <v>91</v>
      </c>
      <c r="D46" s="5" t="str">
        <f aca="false">VLOOKUP(C46,Areas!$A$2:$E$32,3,FALSE())</f>
        <v>West</v>
      </c>
      <c r="E46" s="5" t="s">
        <v>137</v>
      </c>
      <c r="F46" s="5" t="s">
        <v>138</v>
      </c>
      <c r="G46" s="5" t="str">
        <f aca="false">IF(F46="Large","Matador","Scooter")</f>
        <v>Scooter</v>
      </c>
      <c r="H46" s="5" t="n">
        <f aca="false">VLOOKUP(C46,Areas!$A$2:$E$32,4,FALSE())</f>
        <v>4.5</v>
      </c>
      <c r="I46" s="5" t="n">
        <f aca="false">2*H46</f>
        <v>9</v>
      </c>
      <c r="J46" s="14" t="n">
        <f aca="false">IF(G46="Matador",I46/Notes!$B$21*Notes!$B$22,I46/Notes!$B$23*Notes!$B$24)</f>
        <v>19.968</v>
      </c>
      <c r="K46" s="12" t="n">
        <f aca="false">IF(B46&lt;=Notes!$B$26,A46,IF(WEEKDAY(A46)=7,A46+2,A46+1))</f>
        <v>45423</v>
      </c>
      <c r="L46" s="5" t="str">
        <f aca="false">IF(K46=A46,"Yes","No")</f>
        <v>No</v>
      </c>
      <c r="M46" s="5" t="str">
        <f aca="false">IF(E46="Express","No","Yes")</f>
        <v>Yes</v>
      </c>
      <c r="N46" s="5" t="n">
        <f aca="false">IF(M46="No",2*H46,0)</f>
        <v>0</v>
      </c>
      <c r="O46" s="14" t="n">
        <f aca="false">IF(N46=0,0,IF(G46="Matador",N46/Notes!$B$21*Notes!$B$22,N46/Notes!$B$23*Notes!$B$24))</f>
        <v>0</v>
      </c>
    </row>
    <row r="47" customFormat="false" ht="15" hidden="false" customHeight="false" outlineLevel="0" collapsed="false">
      <c r="A47" s="12" t="n">
        <v>45422</v>
      </c>
      <c r="B47" s="13" t="n">
        <v>0.590277777777778</v>
      </c>
      <c r="C47" s="5" t="s">
        <v>66</v>
      </c>
      <c r="D47" s="5" t="str">
        <f aca="false">VLOOKUP(C47,Areas!$A$2:$E$32,3,FALSE())</f>
        <v>Central</v>
      </c>
      <c r="E47" s="5" t="s">
        <v>139</v>
      </c>
      <c r="F47" s="5" t="s">
        <v>138</v>
      </c>
      <c r="G47" s="5" t="str">
        <f aca="false">IF(F47="Large","Matador","Scooter")</f>
        <v>Scooter</v>
      </c>
      <c r="H47" s="5" t="n">
        <f aca="false">VLOOKUP(C47,Areas!$A$2:$E$32,4,FALSE())</f>
        <v>6</v>
      </c>
      <c r="I47" s="5" t="n">
        <f aca="false">2*H47</f>
        <v>12</v>
      </c>
      <c r="J47" s="14" t="n">
        <f aca="false">IF(G47="Matador",I47/Notes!$B$21*Notes!$B$22,I47/Notes!$B$23*Notes!$B$24)</f>
        <v>26.624</v>
      </c>
      <c r="K47" s="12" t="n">
        <f aca="false">IF(B47&lt;=Notes!$B$26,A47,IF(WEEKDAY(A47)=7,A47+2,A47+1))</f>
        <v>45423</v>
      </c>
      <c r="L47" s="5" t="str">
        <f aca="false">IF(K47=A47,"Yes","No")</f>
        <v>No</v>
      </c>
      <c r="M47" s="5" t="str">
        <f aca="false">IF(E47="Express","No","Yes")</f>
        <v>No</v>
      </c>
      <c r="N47" s="5" t="n">
        <f aca="false">IF(M47="No",2*H47,0)</f>
        <v>12</v>
      </c>
      <c r="O47" s="14" t="n">
        <f aca="false">IF(N47=0,0,IF(G47="Matador",N47/Notes!$B$21*Notes!$B$22,N47/Notes!$B$23*Notes!$B$24))</f>
        <v>26.624</v>
      </c>
    </row>
    <row r="48" customFormat="false" ht="15" hidden="false" customHeight="false" outlineLevel="0" collapsed="false">
      <c r="A48" s="12" t="n">
        <v>45422</v>
      </c>
      <c r="B48" s="13" t="n">
        <v>0.604166666666667</v>
      </c>
      <c r="C48" s="5" t="s">
        <v>66</v>
      </c>
      <c r="D48" s="5" t="str">
        <f aca="false">VLOOKUP(C48,Areas!$A$2:$E$32,3,FALSE())</f>
        <v>Central</v>
      </c>
      <c r="E48" s="5" t="s">
        <v>137</v>
      </c>
      <c r="F48" s="5" t="s">
        <v>138</v>
      </c>
      <c r="G48" s="5" t="str">
        <f aca="false">IF(F48="Large","Matador","Scooter")</f>
        <v>Scooter</v>
      </c>
      <c r="H48" s="5" t="n">
        <f aca="false">VLOOKUP(C48,Areas!$A$2:$E$32,4,FALSE())</f>
        <v>6</v>
      </c>
      <c r="I48" s="5" t="n">
        <f aca="false">2*H48</f>
        <v>12</v>
      </c>
      <c r="J48" s="14" t="n">
        <f aca="false">IF(G48="Matador",I48/Notes!$B$21*Notes!$B$22,I48/Notes!$B$23*Notes!$B$24)</f>
        <v>26.624</v>
      </c>
      <c r="K48" s="12" t="n">
        <f aca="false">IF(B48&lt;=Notes!$B$26,A48,IF(WEEKDAY(A48)=7,A48+2,A48+1))</f>
        <v>45423</v>
      </c>
      <c r="L48" s="5" t="str">
        <f aca="false">IF(K48=A48,"Yes","No")</f>
        <v>No</v>
      </c>
      <c r="M48" s="5" t="str">
        <f aca="false">IF(E48="Express","No","Yes")</f>
        <v>Yes</v>
      </c>
      <c r="N48" s="5" t="n">
        <f aca="false">IF(M48="No",2*H48,0)</f>
        <v>0</v>
      </c>
      <c r="O48" s="14" t="n">
        <f aca="false">IF(N48=0,0,IF(G48="Matador",N48/Notes!$B$21*Notes!$B$22,N48/Notes!$B$23*Notes!$B$24))</f>
        <v>0</v>
      </c>
    </row>
    <row r="49" customFormat="false" ht="15" hidden="false" customHeight="false" outlineLevel="0" collapsed="false">
      <c r="A49" s="12" t="n">
        <v>45422</v>
      </c>
      <c r="B49" s="13" t="n">
        <v>0.618055555555556</v>
      </c>
      <c r="C49" s="5" t="s">
        <v>74</v>
      </c>
      <c r="D49" s="5" t="str">
        <f aca="false">VLOOKUP(C49,Areas!$A$2:$E$32,3,FALSE())</f>
        <v>South</v>
      </c>
      <c r="E49" s="5" t="s">
        <v>139</v>
      </c>
      <c r="F49" s="5" t="s">
        <v>138</v>
      </c>
      <c r="G49" s="5" t="str">
        <f aca="false">IF(F49="Large","Matador","Scooter")</f>
        <v>Scooter</v>
      </c>
      <c r="H49" s="5" t="n">
        <f aca="false">VLOOKUP(C49,Areas!$A$2:$E$32,4,FALSE())</f>
        <v>2.5</v>
      </c>
      <c r="I49" s="5" t="n">
        <f aca="false">2*H49</f>
        <v>5</v>
      </c>
      <c r="J49" s="14" t="n">
        <f aca="false">IF(G49="Matador",I49/Notes!$B$21*Notes!$B$22,I49/Notes!$B$23*Notes!$B$24)</f>
        <v>11.0933333333333</v>
      </c>
      <c r="K49" s="12" t="n">
        <f aca="false">IF(B49&lt;=Notes!$B$26,A49,IF(WEEKDAY(A49)=7,A49+2,A49+1))</f>
        <v>45423</v>
      </c>
      <c r="L49" s="5" t="str">
        <f aca="false">IF(K49=A49,"Yes","No")</f>
        <v>No</v>
      </c>
      <c r="M49" s="5" t="str">
        <f aca="false">IF(E49="Express","No","Yes")</f>
        <v>No</v>
      </c>
      <c r="N49" s="5" t="n">
        <f aca="false">IF(M49="No",2*H49,0)</f>
        <v>5</v>
      </c>
      <c r="O49" s="14" t="n">
        <f aca="false">IF(N49=0,0,IF(G49="Matador",N49/Notes!$B$21*Notes!$B$22,N49/Notes!$B$23*Notes!$B$24))</f>
        <v>11.0933333333333</v>
      </c>
    </row>
    <row r="50" customFormat="false" ht="15" hidden="false" customHeight="false" outlineLevel="0" collapsed="false">
      <c r="A50" s="12" t="n">
        <v>45422</v>
      </c>
      <c r="B50" s="13" t="n">
        <v>0.652777777777778</v>
      </c>
      <c r="C50" s="5" t="s">
        <v>110</v>
      </c>
      <c r="D50" s="5" t="str">
        <f aca="false">VLOOKUP(C50,Areas!$A$2:$E$32,3,FALSE())</f>
        <v>North</v>
      </c>
      <c r="E50" s="5" t="s">
        <v>137</v>
      </c>
      <c r="F50" s="5" t="s">
        <v>138</v>
      </c>
      <c r="G50" s="5" t="str">
        <f aca="false">IF(F50="Large","Matador","Scooter")</f>
        <v>Scooter</v>
      </c>
      <c r="H50" s="5" t="n">
        <f aca="false">VLOOKUP(C50,Areas!$A$2:$E$32,4,FALSE())</f>
        <v>19</v>
      </c>
      <c r="I50" s="5" t="n">
        <f aca="false">2*H50</f>
        <v>38</v>
      </c>
      <c r="J50" s="14" t="n">
        <f aca="false">IF(G50="Matador",I50/Notes!$B$21*Notes!$B$22,I50/Notes!$B$23*Notes!$B$24)</f>
        <v>84.3093333333333</v>
      </c>
      <c r="K50" s="12" t="n">
        <f aca="false">IF(B50&lt;=Notes!$B$26,A50,IF(WEEKDAY(A50)=7,A50+2,A50+1))</f>
        <v>45423</v>
      </c>
      <c r="L50" s="5" t="str">
        <f aca="false">IF(K50=A50,"Yes","No")</f>
        <v>No</v>
      </c>
      <c r="M50" s="5" t="str">
        <f aca="false">IF(E50="Express","No","Yes")</f>
        <v>Yes</v>
      </c>
      <c r="N50" s="5" t="n">
        <f aca="false">IF(M50="No",2*H50,0)</f>
        <v>0</v>
      </c>
      <c r="O50" s="14" t="n">
        <f aca="false">IF(N50=0,0,IF(G50="Matador",N50/Notes!$B$21*Notes!$B$22,N50/Notes!$B$23*Notes!$B$24))</f>
        <v>0</v>
      </c>
    </row>
    <row r="51" customFormat="false" ht="15" hidden="false" customHeight="false" outlineLevel="0" collapsed="false">
      <c r="A51" s="12" t="n">
        <v>45422</v>
      </c>
      <c r="B51" s="13" t="n">
        <v>0.677083333333333</v>
      </c>
      <c r="C51" s="5" t="s">
        <v>69</v>
      </c>
      <c r="D51" s="5" t="str">
        <f aca="false">VLOOKUP(C51,Areas!$A$2:$E$32,3,FALSE())</f>
        <v>Central</v>
      </c>
      <c r="E51" s="5" t="s">
        <v>137</v>
      </c>
      <c r="F51" s="5" t="s">
        <v>138</v>
      </c>
      <c r="G51" s="5" t="str">
        <f aca="false">IF(F51="Large","Matador","Scooter")</f>
        <v>Scooter</v>
      </c>
      <c r="H51" s="5" t="n">
        <f aca="false">VLOOKUP(C51,Areas!$A$2:$E$32,4,FALSE())</f>
        <v>4.5</v>
      </c>
      <c r="I51" s="5" t="n">
        <f aca="false">2*H51</f>
        <v>9</v>
      </c>
      <c r="J51" s="14" t="n">
        <f aca="false">IF(G51="Matador",I51/Notes!$B$21*Notes!$B$22,I51/Notes!$B$23*Notes!$B$24)</f>
        <v>19.968</v>
      </c>
      <c r="K51" s="12" t="n">
        <f aca="false">IF(B51&lt;=Notes!$B$26,A51,IF(WEEKDAY(A51)=7,A51+2,A51+1))</f>
        <v>45423</v>
      </c>
      <c r="L51" s="5" t="str">
        <f aca="false">IF(K51=A51,"Yes","No")</f>
        <v>No</v>
      </c>
      <c r="M51" s="5" t="str">
        <f aca="false">IF(E51="Express","No","Yes")</f>
        <v>Yes</v>
      </c>
      <c r="N51" s="5" t="n">
        <f aca="false">IF(M51="No",2*H51,0)</f>
        <v>0</v>
      </c>
      <c r="O51" s="14" t="n">
        <f aca="false">IF(N51=0,0,IF(G51="Matador",N51/Notes!$B$21*Notes!$B$22,N51/Notes!$B$23*Notes!$B$24))</f>
        <v>0</v>
      </c>
    </row>
    <row r="52" customFormat="false" ht="15" hidden="false" customHeight="false" outlineLevel="0" collapsed="false">
      <c r="A52" s="12" t="n">
        <v>45423</v>
      </c>
      <c r="B52" s="13" t="n">
        <v>0.447916666666667</v>
      </c>
      <c r="C52" s="5" t="s">
        <v>91</v>
      </c>
      <c r="D52" s="5" t="str">
        <f aca="false">VLOOKUP(C52,Areas!$A$2:$E$32,3,FALSE())</f>
        <v>West</v>
      </c>
      <c r="E52" s="5" t="s">
        <v>137</v>
      </c>
      <c r="F52" s="5" t="s">
        <v>140</v>
      </c>
      <c r="G52" s="5" t="str">
        <f aca="false">IF(F52="Large","Matador","Scooter")</f>
        <v>Matador</v>
      </c>
      <c r="H52" s="5" t="n">
        <f aca="false">VLOOKUP(C52,Areas!$A$2:$E$32,4,FALSE())</f>
        <v>4.5</v>
      </c>
      <c r="I52" s="5" t="n">
        <f aca="false">2*H52</f>
        <v>9</v>
      </c>
      <c r="J52" s="14" t="n">
        <f aca="false">IF(G52="Matador",I52/Notes!$B$21*Notes!$B$22,I52/Notes!$B$23*Notes!$B$24)</f>
        <v>48.335625</v>
      </c>
      <c r="K52" s="12" t="n">
        <f aca="false">IF(B52&lt;=Notes!$B$26,A52,IF(WEEKDAY(A52)=7,A52+2,A52+1))</f>
        <v>45423</v>
      </c>
      <c r="L52" s="5" t="str">
        <f aca="false">IF(K52=A52,"Yes","No")</f>
        <v>Yes</v>
      </c>
      <c r="M52" s="5" t="str">
        <f aca="false">IF(E52="Express","No","Yes")</f>
        <v>Yes</v>
      </c>
      <c r="N52" s="5" t="n">
        <f aca="false">IF(M52="No",2*H52,0)</f>
        <v>0</v>
      </c>
      <c r="O52" s="14" t="n">
        <f aca="false">IF(N52=0,0,IF(G52="Matador",N52/Notes!$B$21*Notes!$B$22,N52/Notes!$B$23*Notes!$B$24))</f>
        <v>0</v>
      </c>
    </row>
    <row r="53" customFormat="false" ht="15" hidden="false" customHeight="false" outlineLevel="0" collapsed="false">
      <c r="A53" s="12" t="n">
        <v>45423</v>
      </c>
      <c r="B53" s="13" t="n">
        <v>0.461805555555556</v>
      </c>
      <c r="C53" s="5" t="s">
        <v>88</v>
      </c>
      <c r="D53" s="5" t="str">
        <f aca="false">VLOOKUP(C53,Areas!$A$2:$E$32,3,FALSE())</f>
        <v>West</v>
      </c>
      <c r="E53" s="5" t="s">
        <v>139</v>
      </c>
      <c r="F53" s="5" t="s">
        <v>140</v>
      </c>
      <c r="G53" s="5" t="str">
        <f aca="false">IF(F53="Large","Matador","Scooter")</f>
        <v>Matador</v>
      </c>
      <c r="H53" s="5" t="n">
        <f aca="false">VLOOKUP(C53,Areas!$A$2:$E$32,4,FALSE())</f>
        <v>5.5</v>
      </c>
      <c r="I53" s="5" t="n">
        <f aca="false">2*H53</f>
        <v>11</v>
      </c>
      <c r="J53" s="14" t="n">
        <f aca="false">IF(G53="Matador",I53/Notes!$B$21*Notes!$B$22,I53/Notes!$B$23*Notes!$B$24)</f>
        <v>59.076875</v>
      </c>
      <c r="K53" s="12" t="n">
        <f aca="false">IF(B53&lt;=Notes!$B$26,A53,IF(WEEKDAY(A53)=7,A53+2,A53+1))</f>
        <v>45423</v>
      </c>
      <c r="L53" s="5" t="str">
        <f aca="false">IF(K53=A53,"Yes","No")</f>
        <v>Yes</v>
      </c>
      <c r="M53" s="5" t="str">
        <f aca="false">IF(E53="Express","No","Yes")</f>
        <v>No</v>
      </c>
      <c r="N53" s="5" t="n">
        <f aca="false">IF(M53="No",2*H53,0)</f>
        <v>11</v>
      </c>
      <c r="O53" s="14" t="n">
        <f aca="false">IF(N53=0,0,IF(G53="Matador",N53/Notes!$B$21*Notes!$B$22,N53/Notes!$B$23*Notes!$B$24))</f>
        <v>59.076875</v>
      </c>
    </row>
    <row r="54" customFormat="false" ht="15" hidden="false" customHeight="false" outlineLevel="0" collapsed="false">
      <c r="A54" s="12" t="n">
        <v>45423</v>
      </c>
      <c r="B54" s="13" t="n">
        <v>0.46875</v>
      </c>
      <c r="C54" s="5" t="s">
        <v>71</v>
      </c>
      <c r="D54" s="5" t="str">
        <f aca="false">VLOOKUP(C54,Areas!$A$2:$E$32,3,FALSE())</f>
        <v>South</v>
      </c>
      <c r="E54" s="5" t="s">
        <v>137</v>
      </c>
      <c r="F54" s="5" t="s">
        <v>140</v>
      </c>
      <c r="G54" s="5" t="str">
        <f aca="false">IF(F54="Large","Matador","Scooter")</f>
        <v>Matador</v>
      </c>
      <c r="H54" s="5" t="n">
        <f aca="false">VLOOKUP(C54,Areas!$A$2:$E$32,4,FALSE())</f>
        <v>4.5</v>
      </c>
      <c r="I54" s="5" t="n">
        <f aca="false">2*H54</f>
        <v>9</v>
      </c>
      <c r="J54" s="14" t="n">
        <f aca="false">IF(G54="Matador",I54/Notes!$B$21*Notes!$B$22,I54/Notes!$B$23*Notes!$B$24)</f>
        <v>48.335625</v>
      </c>
      <c r="K54" s="12" t="n">
        <f aca="false">IF(B54&lt;=Notes!$B$26,A54,IF(WEEKDAY(A54)=7,A54+2,A54+1))</f>
        <v>45423</v>
      </c>
      <c r="L54" s="5" t="str">
        <f aca="false">IF(K54=A54,"Yes","No")</f>
        <v>Yes</v>
      </c>
      <c r="M54" s="5" t="str">
        <f aca="false">IF(E54="Express","No","Yes")</f>
        <v>Yes</v>
      </c>
      <c r="N54" s="5" t="n">
        <f aca="false">IF(M54="No",2*H54,0)</f>
        <v>0</v>
      </c>
      <c r="O54" s="14" t="n">
        <f aca="false">IF(N54=0,0,IF(G54="Matador",N54/Notes!$B$21*Notes!$B$22,N54/Notes!$B$23*Notes!$B$24))</f>
        <v>0</v>
      </c>
    </row>
    <row r="55" customFormat="false" ht="15" hidden="false" customHeight="false" outlineLevel="0" collapsed="false">
      <c r="A55" s="12" t="n">
        <v>45423</v>
      </c>
      <c r="B55" s="13" t="n">
        <v>0.472222222222222</v>
      </c>
      <c r="C55" s="5" t="s">
        <v>91</v>
      </c>
      <c r="D55" s="5" t="str">
        <f aca="false">VLOOKUP(C55,Areas!$A$2:$E$32,3,FALSE())</f>
        <v>West</v>
      </c>
      <c r="E55" s="5" t="s">
        <v>139</v>
      </c>
      <c r="F55" s="5" t="s">
        <v>140</v>
      </c>
      <c r="G55" s="5" t="str">
        <f aca="false">IF(F55="Large","Matador","Scooter")</f>
        <v>Matador</v>
      </c>
      <c r="H55" s="5" t="n">
        <f aca="false">VLOOKUP(C55,Areas!$A$2:$E$32,4,FALSE())</f>
        <v>4.5</v>
      </c>
      <c r="I55" s="5" t="n">
        <f aca="false">2*H55</f>
        <v>9</v>
      </c>
      <c r="J55" s="14" t="n">
        <f aca="false">IF(G55="Matador",I55/Notes!$B$21*Notes!$B$22,I55/Notes!$B$23*Notes!$B$24)</f>
        <v>48.335625</v>
      </c>
      <c r="K55" s="12" t="n">
        <f aca="false">IF(B55&lt;=Notes!$B$26,A55,IF(WEEKDAY(A55)=7,A55+2,A55+1))</f>
        <v>45423</v>
      </c>
      <c r="L55" s="5" t="str">
        <f aca="false">IF(K55=A55,"Yes","No")</f>
        <v>Yes</v>
      </c>
      <c r="M55" s="5" t="str">
        <f aca="false">IF(E55="Express","No","Yes")</f>
        <v>No</v>
      </c>
      <c r="N55" s="5" t="n">
        <f aca="false">IF(M55="No",2*H55,0)</f>
        <v>9</v>
      </c>
      <c r="O55" s="14" t="n">
        <f aca="false">IF(N55=0,0,IF(G55="Matador",N55/Notes!$B$21*Notes!$B$22,N55/Notes!$B$23*Notes!$B$24))</f>
        <v>48.335625</v>
      </c>
    </row>
    <row r="56" customFormat="false" ht="15" hidden="false" customHeight="false" outlineLevel="0" collapsed="false">
      <c r="A56" s="12" t="n">
        <v>45423</v>
      </c>
      <c r="B56" s="13" t="n">
        <v>0.538194444444444</v>
      </c>
      <c r="C56" s="5" t="s">
        <v>95</v>
      </c>
      <c r="D56" s="5" t="str">
        <f aca="false">VLOOKUP(C56,Areas!$A$2:$E$32,3,FALSE())</f>
        <v>West</v>
      </c>
      <c r="E56" s="5" t="s">
        <v>139</v>
      </c>
      <c r="F56" s="5" t="s">
        <v>138</v>
      </c>
      <c r="G56" s="5" t="str">
        <f aca="false">IF(F56="Large","Matador","Scooter")</f>
        <v>Scooter</v>
      </c>
      <c r="H56" s="5" t="n">
        <f aca="false">VLOOKUP(C56,Areas!$A$2:$E$32,4,FALSE())</f>
        <v>9</v>
      </c>
      <c r="I56" s="5" t="n">
        <f aca="false">2*H56</f>
        <v>18</v>
      </c>
      <c r="J56" s="14" t="n">
        <f aca="false">IF(G56="Matador",I56/Notes!$B$21*Notes!$B$22,I56/Notes!$B$23*Notes!$B$24)</f>
        <v>39.936</v>
      </c>
      <c r="K56" s="12" t="n">
        <f aca="false">IF(B56&lt;=Notes!$B$26,A56,IF(WEEKDAY(A56)=7,A56+2,A56+1))</f>
        <v>45423</v>
      </c>
      <c r="L56" s="5" t="str">
        <f aca="false">IF(K56=A56,"Yes","No")</f>
        <v>Yes</v>
      </c>
      <c r="M56" s="5" t="str">
        <f aca="false">IF(E56="Express","No","Yes")</f>
        <v>No</v>
      </c>
      <c r="N56" s="5" t="n">
        <f aca="false">IF(M56="No",2*H56,0)</f>
        <v>18</v>
      </c>
      <c r="O56" s="14" t="n">
        <f aca="false">IF(N56=0,0,IF(G56="Matador",N56/Notes!$B$21*Notes!$B$22,N56/Notes!$B$23*Notes!$B$24))</f>
        <v>39.936</v>
      </c>
    </row>
    <row r="57" customFormat="false" ht="15" hidden="false" customHeight="false" outlineLevel="0" collapsed="false">
      <c r="A57" s="12" t="n">
        <v>45423</v>
      </c>
      <c r="B57" s="13" t="n">
        <v>0.604166666666667</v>
      </c>
      <c r="C57" s="5" t="s">
        <v>91</v>
      </c>
      <c r="D57" s="5" t="str">
        <f aca="false">VLOOKUP(C57,Areas!$A$2:$E$32,3,FALSE())</f>
        <v>West</v>
      </c>
      <c r="E57" s="5" t="s">
        <v>137</v>
      </c>
      <c r="F57" s="5" t="s">
        <v>138</v>
      </c>
      <c r="G57" s="5" t="str">
        <f aca="false">IF(F57="Large","Matador","Scooter")</f>
        <v>Scooter</v>
      </c>
      <c r="H57" s="5" t="n">
        <f aca="false">VLOOKUP(C57,Areas!$A$2:$E$32,4,FALSE())</f>
        <v>4.5</v>
      </c>
      <c r="I57" s="5" t="n">
        <f aca="false">2*H57</f>
        <v>9</v>
      </c>
      <c r="J57" s="14" t="n">
        <f aca="false">IF(G57="Matador",I57/Notes!$B$21*Notes!$B$22,I57/Notes!$B$23*Notes!$B$24)</f>
        <v>19.968</v>
      </c>
      <c r="K57" s="12" t="n">
        <f aca="false">IF(B57&lt;=Notes!$B$26,A57,IF(WEEKDAY(A57)=7,A57+2,A57+1))</f>
        <v>45425</v>
      </c>
      <c r="L57" s="5" t="str">
        <f aca="false">IF(K57=A57,"Yes","No")</f>
        <v>No</v>
      </c>
      <c r="M57" s="5" t="str">
        <f aca="false">IF(E57="Express","No","Yes")</f>
        <v>Yes</v>
      </c>
      <c r="N57" s="5" t="n">
        <f aca="false">IF(M57="No",2*H57,0)</f>
        <v>0</v>
      </c>
      <c r="O57" s="14" t="n">
        <f aca="false">IF(N57=0,0,IF(G57="Matador",N57/Notes!$B$21*Notes!$B$22,N57/Notes!$B$23*Notes!$B$24))</f>
        <v>0</v>
      </c>
    </row>
    <row r="58" customFormat="false" ht="15" hidden="false" customHeight="false" outlineLevel="0" collapsed="false">
      <c r="A58" s="12" t="n">
        <v>45423</v>
      </c>
      <c r="B58" s="13" t="n">
        <v>0.628472222222222</v>
      </c>
      <c r="C58" s="5" t="s">
        <v>62</v>
      </c>
      <c r="D58" s="5" t="str">
        <f aca="false">VLOOKUP(C58,Areas!$A$2:$E$32,3,FALSE())</f>
        <v>Central</v>
      </c>
      <c r="E58" s="5" t="s">
        <v>139</v>
      </c>
      <c r="F58" s="5" t="s">
        <v>140</v>
      </c>
      <c r="G58" s="5" t="str">
        <f aca="false">IF(F58="Large","Matador","Scooter")</f>
        <v>Matador</v>
      </c>
      <c r="H58" s="5" t="n">
        <f aca="false">VLOOKUP(C58,Areas!$A$2:$E$32,4,FALSE())</f>
        <v>3.5</v>
      </c>
      <c r="I58" s="5" t="n">
        <f aca="false">2*H58</f>
        <v>7</v>
      </c>
      <c r="J58" s="14" t="n">
        <f aca="false">IF(G58="Matador",I58/Notes!$B$21*Notes!$B$22,I58/Notes!$B$23*Notes!$B$24)</f>
        <v>37.594375</v>
      </c>
      <c r="K58" s="12" t="n">
        <f aca="false">IF(B58&lt;=Notes!$B$26,A58,IF(WEEKDAY(A58)=7,A58+2,A58+1))</f>
        <v>45425</v>
      </c>
      <c r="L58" s="5" t="str">
        <f aca="false">IF(K58=A58,"Yes","No")</f>
        <v>No</v>
      </c>
      <c r="M58" s="5" t="str">
        <f aca="false">IF(E58="Express","No","Yes")</f>
        <v>No</v>
      </c>
      <c r="N58" s="5" t="n">
        <f aca="false">IF(M58="No",2*H58,0)</f>
        <v>7</v>
      </c>
      <c r="O58" s="14" t="n">
        <f aca="false">IF(N58=0,0,IF(G58="Matador",N58/Notes!$B$21*Notes!$B$22,N58/Notes!$B$23*Notes!$B$24))</f>
        <v>37.594375</v>
      </c>
    </row>
    <row r="59" customFormat="false" ht="15" hidden="false" customHeight="false" outlineLevel="0" collapsed="false">
      <c r="A59" s="12" t="n">
        <v>45423</v>
      </c>
      <c r="B59" s="13" t="n">
        <v>0.802083333333333</v>
      </c>
      <c r="C59" s="5" t="s">
        <v>76</v>
      </c>
      <c r="D59" s="5" t="str">
        <f aca="false">VLOOKUP(C59,Areas!$A$2:$E$32,3,FALSE())</f>
        <v>South</v>
      </c>
      <c r="E59" s="5" t="s">
        <v>137</v>
      </c>
      <c r="F59" s="5" t="s">
        <v>138</v>
      </c>
      <c r="G59" s="5" t="str">
        <f aca="false">IF(F59="Large","Matador","Scooter")</f>
        <v>Scooter</v>
      </c>
      <c r="H59" s="5" t="n">
        <f aca="false">VLOOKUP(C59,Areas!$A$2:$E$32,4,FALSE())</f>
        <v>7</v>
      </c>
      <c r="I59" s="5" t="n">
        <f aca="false">2*H59</f>
        <v>14</v>
      </c>
      <c r="J59" s="14" t="n">
        <f aca="false">IF(G59="Matador",I59/Notes!$B$21*Notes!$B$22,I59/Notes!$B$23*Notes!$B$24)</f>
        <v>31.0613333333333</v>
      </c>
      <c r="K59" s="12" t="n">
        <f aca="false">IF(B59&lt;=Notes!$B$26,A59,IF(WEEKDAY(A59)=7,A59+2,A59+1))</f>
        <v>45425</v>
      </c>
      <c r="L59" s="5" t="str">
        <f aca="false">IF(K59=A59,"Yes","No")</f>
        <v>No</v>
      </c>
      <c r="M59" s="5" t="str">
        <f aca="false">IF(E59="Express","No","Yes")</f>
        <v>Yes</v>
      </c>
      <c r="N59" s="5" t="n">
        <f aca="false">IF(M59="No",2*H59,0)</f>
        <v>0</v>
      </c>
      <c r="O59" s="14" t="n">
        <f aca="false">IF(N59=0,0,IF(G59="Matador",N59/Notes!$B$21*Notes!$B$22,N59/Notes!$B$23*Notes!$B$24))</f>
        <v>0</v>
      </c>
    </row>
    <row r="60" customFormat="false" ht="15" hidden="false" customHeight="false" outlineLevel="0" collapsed="false">
      <c r="A60" s="12" t="n">
        <v>45425</v>
      </c>
      <c r="B60" s="13" t="n">
        <v>0.395833333333333</v>
      </c>
      <c r="C60" s="5" t="s">
        <v>112</v>
      </c>
      <c r="D60" s="5" t="str">
        <f aca="false">VLOOKUP(C60,Areas!$A$2:$E$32,3,FALSE())</f>
        <v>East</v>
      </c>
      <c r="E60" s="5" t="s">
        <v>137</v>
      </c>
      <c r="F60" s="5" t="s">
        <v>138</v>
      </c>
      <c r="G60" s="5" t="str">
        <f aca="false">IF(F60="Large","Matador","Scooter")</f>
        <v>Scooter</v>
      </c>
      <c r="H60" s="5" t="n">
        <f aca="false">VLOOKUP(C60,Areas!$A$2:$E$32,4,FALSE())</f>
        <v>10</v>
      </c>
      <c r="I60" s="5" t="n">
        <f aca="false">2*H60</f>
        <v>20</v>
      </c>
      <c r="J60" s="14" t="n">
        <f aca="false">IF(G60="Matador",I60/Notes!$B$21*Notes!$B$22,I60/Notes!$B$23*Notes!$B$24)</f>
        <v>44.3733333333333</v>
      </c>
      <c r="K60" s="12" t="n">
        <f aca="false">IF(B60&lt;=Notes!$B$26,A60,IF(WEEKDAY(A60)=7,A60+2,A60+1))</f>
        <v>45425</v>
      </c>
      <c r="L60" s="5" t="str">
        <f aca="false">IF(K60=A60,"Yes","No")</f>
        <v>Yes</v>
      </c>
      <c r="M60" s="5" t="str">
        <f aca="false">IF(E60="Express","No","Yes")</f>
        <v>Yes</v>
      </c>
      <c r="N60" s="5" t="n">
        <f aca="false">IF(M60="No",2*H60,0)</f>
        <v>0</v>
      </c>
      <c r="O60" s="14" t="n">
        <f aca="false">IF(N60=0,0,IF(G60="Matador",N60/Notes!$B$21*Notes!$B$22,N60/Notes!$B$23*Notes!$B$24))</f>
        <v>0</v>
      </c>
    </row>
    <row r="61" customFormat="false" ht="15" hidden="false" customHeight="false" outlineLevel="0" collapsed="false">
      <c r="A61" s="12" t="n">
        <v>45425</v>
      </c>
      <c r="B61" s="13" t="n">
        <v>0.40625</v>
      </c>
      <c r="C61" s="5" t="s">
        <v>104</v>
      </c>
      <c r="D61" s="5" t="str">
        <f aca="false">VLOOKUP(C61,Areas!$A$2:$E$32,3,FALSE())</f>
        <v>North</v>
      </c>
      <c r="E61" s="5" t="s">
        <v>137</v>
      </c>
      <c r="F61" s="5" t="s">
        <v>140</v>
      </c>
      <c r="G61" s="5" t="str">
        <f aca="false">IF(F61="Large","Matador","Scooter")</f>
        <v>Matador</v>
      </c>
      <c r="H61" s="5" t="n">
        <f aca="false">VLOOKUP(C61,Areas!$A$2:$E$32,4,FALSE())</f>
        <v>12.5</v>
      </c>
      <c r="I61" s="5" t="n">
        <f aca="false">2*H61</f>
        <v>25</v>
      </c>
      <c r="J61" s="14" t="n">
        <f aca="false">IF(G61="Matador",I61/Notes!$B$21*Notes!$B$22,I61/Notes!$B$23*Notes!$B$24)</f>
        <v>134.265625</v>
      </c>
      <c r="K61" s="12" t="n">
        <f aca="false">IF(B61&lt;=Notes!$B$26,A61,IF(WEEKDAY(A61)=7,A61+2,A61+1))</f>
        <v>45425</v>
      </c>
      <c r="L61" s="5" t="str">
        <f aca="false">IF(K61=A61,"Yes","No")</f>
        <v>Yes</v>
      </c>
      <c r="M61" s="5" t="str">
        <f aca="false">IF(E61="Express","No","Yes")</f>
        <v>Yes</v>
      </c>
      <c r="N61" s="5" t="n">
        <f aca="false">IF(M61="No",2*H61,0)</f>
        <v>0</v>
      </c>
      <c r="O61" s="14" t="n">
        <f aca="false">IF(N61=0,0,IF(G61="Matador",N61/Notes!$B$21*Notes!$B$22,N61/Notes!$B$23*Notes!$B$24))</f>
        <v>0</v>
      </c>
    </row>
    <row r="62" customFormat="false" ht="15" hidden="false" customHeight="false" outlineLevel="0" collapsed="false">
      <c r="A62" s="12" t="n">
        <v>45425</v>
      </c>
      <c r="B62" s="13" t="n">
        <v>0.434027777777778</v>
      </c>
      <c r="C62" s="5" t="s">
        <v>78</v>
      </c>
      <c r="D62" s="5" t="str">
        <f aca="false">VLOOKUP(C62,Areas!$A$2:$E$32,3,FALSE())</f>
        <v>South</v>
      </c>
      <c r="E62" s="5" t="s">
        <v>137</v>
      </c>
      <c r="F62" s="5" t="s">
        <v>138</v>
      </c>
      <c r="G62" s="5" t="str">
        <f aca="false">IF(F62="Large","Matador","Scooter")</f>
        <v>Scooter</v>
      </c>
      <c r="H62" s="5" t="n">
        <f aca="false">VLOOKUP(C62,Areas!$A$2:$E$32,4,FALSE())</f>
        <v>9</v>
      </c>
      <c r="I62" s="5" t="n">
        <f aca="false">2*H62</f>
        <v>18</v>
      </c>
      <c r="J62" s="14" t="n">
        <f aca="false">IF(G62="Matador",I62/Notes!$B$21*Notes!$B$22,I62/Notes!$B$23*Notes!$B$24)</f>
        <v>39.936</v>
      </c>
      <c r="K62" s="12" t="n">
        <f aca="false">IF(B62&lt;=Notes!$B$26,A62,IF(WEEKDAY(A62)=7,A62+2,A62+1))</f>
        <v>45425</v>
      </c>
      <c r="L62" s="5" t="str">
        <f aca="false">IF(K62=A62,"Yes","No")</f>
        <v>Yes</v>
      </c>
      <c r="M62" s="5" t="str">
        <f aca="false">IF(E62="Express","No","Yes")</f>
        <v>Yes</v>
      </c>
      <c r="N62" s="5" t="n">
        <f aca="false">IF(M62="No",2*H62,0)</f>
        <v>0</v>
      </c>
      <c r="O62" s="14" t="n">
        <f aca="false">IF(N62=0,0,IF(G62="Matador",N62/Notes!$B$21*Notes!$B$22,N62/Notes!$B$23*Notes!$B$24))</f>
        <v>0</v>
      </c>
    </row>
    <row r="63" customFormat="false" ht="15" hidden="false" customHeight="false" outlineLevel="0" collapsed="false">
      <c r="A63" s="12" t="n">
        <v>45425</v>
      </c>
      <c r="B63" s="13" t="n">
        <v>0.458333333333333</v>
      </c>
      <c r="C63" s="5" t="s">
        <v>60</v>
      </c>
      <c r="D63" s="5" t="str">
        <f aca="false">VLOOKUP(C63,Areas!$A$2:$E$32,3,FALSE())</f>
        <v>Central</v>
      </c>
      <c r="E63" s="5" t="s">
        <v>137</v>
      </c>
      <c r="F63" s="5" t="s">
        <v>138</v>
      </c>
      <c r="G63" s="5" t="str">
        <f aca="false">IF(F63="Large","Matador","Scooter")</f>
        <v>Scooter</v>
      </c>
      <c r="H63" s="5" t="n">
        <f aca="false">VLOOKUP(C63,Areas!$A$2:$E$32,4,FALSE())</f>
        <v>2</v>
      </c>
      <c r="I63" s="5" t="n">
        <f aca="false">2*H63</f>
        <v>4</v>
      </c>
      <c r="J63" s="14" t="n">
        <f aca="false">IF(G63="Matador",I63/Notes!$B$21*Notes!$B$22,I63/Notes!$B$23*Notes!$B$24)</f>
        <v>8.87466666666667</v>
      </c>
      <c r="K63" s="12" t="n">
        <f aca="false">IF(B63&lt;=Notes!$B$26,A63,IF(WEEKDAY(A63)=7,A63+2,A63+1))</f>
        <v>45425</v>
      </c>
      <c r="L63" s="5" t="str">
        <f aca="false">IF(K63=A63,"Yes","No")</f>
        <v>Yes</v>
      </c>
      <c r="M63" s="5" t="str">
        <f aca="false">IF(E63="Express","No","Yes")</f>
        <v>Yes</v>
      </c>
      <c r="N63" s="5" t="n">
        <f aca="false">IF(M63="No",2*H63,0)</f>
        <v>0</v>
      </c>
      <c r="O63" s="14" t="n">
        <f aca="false">IF(N63=0,0,IF(G63="Matador",N63/Notes!$B$21*Notes!$B$22,N63/Notes!$B$23*Notes!$B$24))</f>
        <v>0</v>
      </c>
    </row>
    <row r="64" customFormat="false" ht="15" hidden="false" customHeight="false" outlineLevel="0" collapsed="false">
      <c r="A64" s="12" t="n">
        <v>45425</v>
      </c>
      <c r="B64" s="13" t="n">
        <v>0.506944444444444</v>
      </c>
      <c r="C64" s="5" t="s">
        <v>58</v>
      </c>
      <c r="D64" s="5" t="str">
        <f aca="false">VLOOKUP(C64,Areas!$A$2:$E$32,3,FALSE())</f>
        <v>Central</v>
      </c>
      <c r="E64" s="5" t="s">
        <v>139</v>
      </c>
      <c r="F64" s="5" t="s">
        <v>140</v>
      </c>
      <c r="G64" s="5" t="str">
        <f aca="false">IF(F64="Large","Matador","Scooter")</f>
        <v>Matador</v>
      </c>
      <c r="H64" s="5" t="n">
        <f aca="false">VLOOKUP(C64,Areas!$A$2:$E$32,4,FALSE())</f>
        <v>2</v>
      </c>
      <c r="I64" s="5" t="n">
        <f aca="false">2*H64</f>
        <v>4</v>
      </c>
      <c r="J64" s="14" t="n">
        <f aca="false">IF(G64="Matador",I64/Notes!$B$21*Notes!$B$22,I64/Notes!$B$23*Notes!$B$24)</f>
        <v>21.4825</v>
      </c>
      <c r="K64" s="12" t="n">
        <f aca="false">IF(B64&lt;=Notes!$B$26,A64,IF(WEEKDAY(A64)=7,A64+2,A64+1))</f>
        <v>45425</v>
      </c>
      <c r="L64" s="5" t="str">
        <f aca="false">IF(K64=A64,"Yes","No")</f>
        <v>Yes</v>
      </c>
      <c r="M64" s="5" t="str">
        <f aca="false">IF(E64="Express","No","Yes")</f>
        <v>No</v>
      </c>
      <c r="N64" s="5" t="n">
        <f aca="false">IF(M64="No",2*H64,0)</f>
        <v>4</v>
      </c>
      <c r="O64" s="14" t="n">
        <f aca="false">IF(N64=0,0,IF(G64="Matador",N64/Notes!$B$21*Notes!$B$22,N64/Notes!$B$23*Notes!$B$24))</f>
        <v>21.4825</v>
      </c>
    </row>
    <row r="65" customFormat="false" ht="15" hidden="false" customHeight="false" outlineLevel="0" collapsed="false">
      <c r="A65" s="12" t="n">
        <v>45425</v>
      </c>
      <c r="B65" s="13" t="n">
        <v>0.527777777777778</v>
      </c>
      <c r="C65" s="5" t="s">
        <v>88</v>
      </c>
      <c r="D65" s="5" t="str">
        <f aca="false">VLOOKUP(C65,Areas!$A$2:$E$32,3,FALSE())</f>
        <v>West</v>
      </c>
      <c r="E65" s="5" t="s">
        <v>137</v>
      </c>
      <c r="F65" s="5" t="s">
        <v>138</v>
      </c>
      <c r="G65" s="5" t="str">
        <f aca="false">IF(F65="Large","Matador","Scooter")</f>
        <v>Scooter</v>
      </c>
      <c r="H65" s="5" t="n">
        <f aca="false">VLOOKUP(C65,Areas!$A$2:$E$32,4,FALSE())</f>
        <v>5.5</v>
      </c>
      <c r="I65" s="5" t="n">
        <f aca="false">2*H65</f>
        <v>11</v>
      </c>
      <c r="J65" s="14" t="n">
        <f aca="false">IF(G65="Matador",I65/Notes!$B$21*Notes!$B$22,I65/Notes!$B$23*Notes!$B$24)</f>
        <v>24.4053333333333</v>
      </c>
      <c r="K65" s="12" t="n">
        <f aca="false">IF(B65&lt;=Notes!$B$26,A65,IF(WEEKDAY(A65)=7,A65+2,A65+1))</f>
        <v>45425</v>
      </c>
      <c r="L65" s="5" t="str">
        <f aca="false">IF(K65=A65,"Yes","No")</f>
        <v>Yes</v>
      </c>
      <c r="M65" s="5" t="str">
        <f aca="false">IF(E65="Express","No","Yes")</f>
        <v>Yes</v>
      </c>
      <c r="N65" s="5" t="n">
        <f aca="false">IF(M65="No",2*H65,0)</f>
        <v>0</v>
      </c>
      <c r="O65" s="14" t="n">
        <f aca="false">IF(N65=0,0,IF(G65="Matador",N65/Notes!$B$21*Notes!$B$22,N65/Notes!$B$23*Notes!$B$24))</f>
        <v>0</v>
      </c>
    </row>
    <row r="66" customFormat="false" ht="15" hidden="false" customHeight="false" outlineLevel="0" collapsed="false">
      <c r="A66" s="12" t="n">
        <v>45425</v>
      </c>
      <c r="B66" s="13" t="n">
        <v>0.527777777777778</v>
      </c>
      <c r="C66" s="5" t="s">
        <v>60</v>
      </c>
      <c r="D66" s="5" t="str">
        <f aca="false">VLOOKUP(C66,Areas!$A$2:$E$32,3,FALSE())</f>
        <v>Central</v>
      </c>
      <c r="E66" s="5" t="s">
        <v>137</v>
      </c>
      <c r="F66" s="5" t="s">
        <v>138</v>
      </c>
      <c r="G66" s="5" t="str">
        <f aca="false">IF(F66="Large","Matador","Scooter")</f>
        <v>Scooter</v>
      </c>
      <c r="H66" s="5" t="n">
        <f aca="false">VLOOKUP(C66,Areas!$A$2:$E$32,4,FALSE())</f>
        <v>2</v>
      </c>
      <c r="I66" s="5" t="n">
        <f aca="false">2*H66</f>
        <v>4</v>
      </c>
      <c r="J66" s="14" t="n">
        <f aca="false">IF(G66="Matador",I66/Notes!$B$21*Notes!$B$22,I66/Notes!$B$23*Notes!$B$24)</f>
        <v>8.87466666666667</v>
      </c>
      <c r="K66" s="12" t="n">
        <f aca="false">IF(B66&lt;=Notes!$B$26,A66,IF(WEEKDAY(A66)=7,A66+2,A66+1))</f>
        <v>45425</v>
      </c>
      <c r="L66" s="5" t="str">
        <f aca="false">IF(K66=A66,"Yes","No")</f>
        <v>Yes</v>
      </c>
      <c r="M66" s="5" t="str">
        <f aca="false">IF(E66="Express","No","Yes")</f>
        <v>Yes</v>
      </c>
      <c r="N66" s="5" t="n">
        <f aca="false">IF(M66="No",2*H66,0)</f>
        <v>0</v>
      </c>
      <c r="O66" s="14" t="n">
        <f aca="false">IF(N66=0,0,IF(G66="Matador",N66/Notes!$B$21*Notes!$B$22,N66/Notes!$B$23*Notes!$B$24))</f>
        <v>0</v>
      </c>
    </row>
    <row r="67" customFormat="false" ht="15" hidden="false" customHeight="false" outlineLevel="0" collapsed="false">
      <c r="A67" s="12" t="n">
        <v>45425</v>
      </c>
      <c r="B67" s="13" t="n">
        <v>0.638888888888889</v>
      </c>
      <c r="C67" s="5" t="s">
        <v>58</v>
      </c>
      <c r="D67" s="5" t="str">
        <f aca="false">VLOOKUP(C67,Areas!$A$2:$E$32,3,FALSE())</f>
        <v>Central</v>
      </c>
      <c r="E67" s="5" t="s">
        <v>137</v>
      </c>
      <c r="F67" s="5" t="s">
        <v>138</v>
      </c>
      <c r="G67" s="5" t="str">
        <f aca="false">IF(F67="Large","Matador","Scooter")</f>
        <v>Scooter</v>
      </c>
      <c r="H67" s="5" t="n">
        <f aca="false">VLOOKUP(C67,Areas!$A$2:$E$32,4,FALSE())</f>
        <v>2</v>
      </c>
      <c r="I67" s="5" t="n">
        <f aca="false">2*H67</f>
        <v>4</v>
      </c>
      <c r="J67" s="14" t="n">
        <f aca="false">IF(G67="Matador",I67/Notes!$B$21*Notes!$B$22,I67/Notes!$B$23*Notes!$B$24)</f>
        <v>8.87466666666667</v>
      </c>
      <c r="K67" s="12" t="n">
        <f aca="false">IF(B67&lt;=Notes!$B$26,A67,IF(WEEKDAY(A67)=7,A67+2,A67+1))</f>
        <v>45426</v>
      </c>
      <c r="L67" s="5" t="str">
        <f aca="false">IF(K67=A67,"Yes","No")</f>
        <v>No</v>
      </c>
      <c r="M67" s="5" t="str">
        <f aca="false">IF(E67="Express","No","Yes")</f>
        <v>Yes</v>
      </c>
      <c r="N67" s="5" t="n">
        <f aca="false">IF(M67="No",2*H67,0)</f>
        <v>0</v>
      </c>
      <c r="O67" s="14" t="n">
        <f aca="false">IF(N67=0,0,IF(G67="Matador",N67/Notes!$B$21*Notes!$B$22,N67/Notes!$B$23*Notes!$B$24))</f>
        <v>0</v>
      </c>
    </row>
    <row r="68" customFormat="false" ht="15" hidden="false" customHeight="false" outlineLevel="0" collapsed="false">
      <c r="A68" s="12" t="n">
        <v>45425</v>
      </c>
      <c r="B68" s="13" t="n">
        <v>0.71875</v>
      </c>
      <c r="C68" s="5" t="s">
        <v>74</v>
      </c>
      <c r="D68" s="5" t="str">
        <f aca="false">VLOOKUP(C68,Areas!$A$2:$E$32,3,FALSE())</f>
        <v>South</v>
      </c>
      <c r="E68" s="5" t="s">
        <v>137</v>
      </c>
      <c r="F68" s="5" t="s">
        <v>140</v>
      </c>
      <c r="G68" s="5" t="str">
        <f aca="false">IF(F68="Large","Matador","Scooter")</f>
        <v>Matador</v>
      </c>
      <c r="H68" s="5" t="n">
        <f aca="false">VLOOKUP(C68,Areas!$A$2:$E$32,4,FALSE())</f>
        <v>2.5</v>
      </c>
      <c r="I68" s="5" t="n">
        <f aca="false">2*H68</f>
        <v>5</v>
      </c>
      <c r="J68" s="14" t="n">
        <f aca="false">IF(G68="Matador",I68/Notes!$B$21*Notes!$B$22,I68/Notes!$B$23*Notes!$B$24)</f>
        <v>26.853125</v>
      </c>
      <c r="K68" s="12" t="n">
        <f aca="false">IF(B68&lt;=Notes!$B$26,A68,IF(WEEKDAY(A68)=7,A68+2,A68+1))</f>
        <v>45426</v>
      </c>
      <c r="L68" s="5" t="str">
        <f aca="false">IF(K68=A68,"Yes","No")</f>
        <v>No</v>
      </c>
      <c r="M68" s="5" t="str">
        <f aca="false">IF(E68="Express","No","Yes")</f>
        <v>Yes</v>
      </c>
      <c r="N68" s="5" t="n">
        <f aca="false">IF(M68="No",2*H68,0)</f>
        <v>0</v>
      </c>
      <c r="O68" s="14" t="n">
        <f aca="false">IF(N68=0,0,IF(G68="Matador",N68/Notes!$B$21*Notes!$B$22,N68/Notes!$B$23*Notes!$B$24))</f>
        <v>0</v>
      </c>
    </row>
    <row r="69" customFormat="false" ht="15" hidden="false" customHeight="false" outlineLevel="0" collapsed="false">
      <c r="A69" s="12" t="n">
        <v>45425</v>
      </c>
      <c r="B69" s="13" t="n">
        <v>0.739583333333333</v>
      </c>
      <c r="C69" s="5" t="s">
        <v>60</v>
      </c>
      <c r="D69" s="5" t="str">
        <f aca="false">VLOOKUP(C69,Areas!$A$2:$E$32,3,FALSE())</f>
        <v>Central</v>
      </c>
      <c r="E69" s="5" t="s">
        <v>137</v>
      </c>
      <c r="F69" s="5" t="s">
        <v>138</v>
      </c>
      <c r="G69" s="5" t="str">
        <f aca="false">IF(F69="Large","Matador","Scooter")</f>
        <v>Scooter</v>
      </c>
      <c r="H69" s="5" t="n">
        <f aca="false">VLOOKUP(C69,Areas!$A$2:$E$32,4,FALSE())</f>
        <v>2</v>
      </c>
      <c r="I69" s="5" t="n">
        <f aca="false">2*H69</f>
        <v>4</v>
      </c>
      <c r="J69" s="14" t="n">
        <f aca="false">IF(G69="Matador",I69/Notes!$B$21*Notes!$B$22,I69/Notes!$B$23*Notes!$B$24)</f>
        <v>8.87466666666667</v>
      </c>
      <c r="K69" s="12" t="n">
        <f aca="false">IF(B69&lt;=Notes!$B$26,A69,IF(WEEKDAY(A69)=7,A69+2,A69+1))</f>
        <v>45426</v>
      </c>
      <c r="L69" s="5" t="str">
        <f aca="false">IF(K69=A69,"Yes","No")</f>
        <v>No</v>
      </c>
      <c r="M69" s="5" t="str">
        <f aca="false">IF(E69="Express","No","Yes")</f>
        <v>Yes</v>
      </c>
      <c r="N69" s="5" t="n">
        <f aca="false">IF(M69="No",2*H69,0)</f>
        <v>0</v>
      </c>
      <c r="O69" s="14" t="n">
        <f aca="false">IF(N69=0,0,IF(G69="Matador",N69/Notes!$B$21*Notes!$B$22,N69/Notes!$B$23*Notes!$B$24))</f>
        <v>0</v>
      </c>
    </row>
    <row r="70" customFormat="false" ht="15" hidden="false" customHeight="false" outlineLevel="0" collapsed="false">
      <c r="A70" s="12" t="n">
        <v>45425</v>
      </c>
      <c r="B70" s="13" t="n">
        <v>0.791666666666667</v>
      </c>
      <c r="C70" s="5" t="s">
        <v>80</v>
      </c>
      <c r="D70" s="5" t="str">
        <f aca="false">VLOOKUP(C70,Areas!$A$2:$E$32,3,FALSE())</f>
        <v>South</v>
      </c>
      <c r="E70" s="5" t="s">
        <v>139</v>
      </c>
      <c r="F70" s="5" t="s">
        <v>140</v>
      </c>
      <c r="G70" s="5" t="str">
        <f aca="false">IF(F70="Large","Matador","Scooter")</f>
        <v>Matador</v>
      </c>
      <c r="H70" s="5" t="n">
        <f aca="false">VLOOKUP(C70,Areas!$A$2:$E$32,4,FALSE())</f>
        <v>9.5</v>
      </c>
      <c r="I70" s="5" t="n">
        <f aca="false">2*H70</f>
        <v>19</v>
      </c>
      <c r="J70" s="14" t="n">
        <f aca="false">IF(G70="Matador",I70/Notes!$B$21*Notes!$B$22,I70/Notes!$B$23*Notes!$B$24)</f>
        <v>102.041875</v>
      </c>
      <c r="K70" s="12" t="n">
        <f aca="false">IF(B70&lt;=Notes!$B$26,A70,IF(WEEKDAY(A70)=7,A70+2,A70+1))</f>
        <v>45426</v>
      </c>
      <c r="L70" s="5" t="str">
        <f aca="false">IF(K70=A70,"Yes","No")</f>
        <v>No</v>
      </c>
      <c r="M70" s="5" t="str">
        <f aca="false">IF(E70="Express","No","Yes")</f>
        <v>No</v>
      </c>
      <c r="N70" s="5" t="n">
        <f aca="false">IF(M70="No",2*H70,0)</f>
        <v>19</v>
      </c>
      <c r="O70" s="14" t="n">
        <f aca="false">IF(N70=0,0,IF(G70="Matador",N70/Notes!$B$21*Notes!$B$22,N70/Notes!$B$23*Notes!$B$24))</f>
        <v>102.041875</v>
      </c>
    </row>
    <row r="71" customFormat="false" ht="15" hidden="false" customHeight="false" outlineLevel="0" collapsed="false">
      <c r="A71" s="12" t="n">
        <v>45426</v>
      </c>
      <c r="B71" s="13" t="n">
        <v>0.503472222222222</v>
      </c>
      <c r="C71" s="5" t="s">
        <v>69</v>
      </c>
      <c r="D71" s="5" t="str">
        <f aca="false">VLOOKUP(C71,Areas!$A$2:$E$32,3,FALSE())</f>
        <v>Central</v>
      </c>
      <c r="E71" s="5" t="s">
        <v>137</v>
      </c>
      <c r="F71" s="5" t="s">
        <v>138</v>
      </c>
      <c r="G71" s="5" t="str">
        <f aca="false">IF(F71="Large","Matador","Scooter")</f>
        <v>Scooter</v>
      </c>
      <c r="H71" s="5" t="n">
        <f aca="false">VLOOKUP(C71,Areas!$A$2:$E$32,4,FALSE())</f>
        <v>4.5</v>
      </c>
      <c r="I71" s="5" t="n">
        <f aca="false">2*H71</f>
        <v>9</v>
      </c>
      <c r="J71" s="14" t="n">
        <f aca="false">IF(G71="Matador",I71/Notes!$B$21*Notes!$B$22,I71/Notes!$B$23*Notes!$B$24)</f>
        <v>19.968</v>
      </c>
      <c r="K71" s="12" t="n">
        <f aca="false">IF(B71&lt;=Notes!$B$26,A71,IF(WEEKDAY(A71)=7,A71+2,A71+1))</f>
        <v>45426</v>
      </c>
      <c r="L71" s="5" t="str">
        <f aca="false">IF(K71=A71,"Yes","No")</f>
        <v>Yes</v>
      </c>
      <c r="M71" s="5" t="str">
        <f aca="false">IF(E71="Express","No","Yes")</f>
        <v>Yes</v>
      </c>
      <c r="N71" s="5" t="n">
        <f aca="false">IF(M71="No",2*H71,0)</f>
        <v>0</v>
      </c>
      <c r="O71" s="14" t="n">
        <f aca="false">IF(N71=0,0,IF(G71="Matador",N71/Notes!$B$21*Notes!$B$22,N71/Notes!$B$23*Notes!$B$24))</f>
        <v>0</v>
      </c>
    </row>
    <row r="72" customFormat="false" ht="15" hidden="false" customHeight="false" outlineLevel="0" collapsed="false">
      <c r="A72" s="12" t="n">
        <v>45426</v>
      </c>
      <c r="B72" s="13" t="n">
        <v>0.538194444444444</v>
      </c>
      <c r="C72" s="5" t="s">
        <v>58</v>
      </c>
      <c r="D72" s="5" t="str">
        <f aca="false">VLOOKUP(C72,Areas!$A$2:$E$32,3,FALSE())</f>
        <v>Central</v>
      </c>
      <c r="E72" s="5" t="s">
        <v>139</v>
      </c>
      <c r="F72" s="5" t="s">
        <v>140</v>
      </c>
      <c r="G72" s="5" t="str">
        <f aca="false">IF(F72="Large","Matador","Scooter")</f>
        <v>Matador</v>
      </c>
      <c r="H72" s="5" t="n">
        <f aca="false">VLOOKUP(C72,Areas!$A$2:$E$32,4,FALSE())</f>
        <v>2</v>
      </c>
      <c r="I72" s="5" t="n">
        <f aca="false">2*H72</f>
        <v>4</v>
      </c>
      <c r="J72" s="14" t="n">
        <f aca="false">IF(G72="Matador",I72/Notes!$B$21*Notes!$B$22,I72/Notes!$B$23*Notes!$B$24)</f>
        <v>21.4825</v>
      </c>
      <c r="K72" s="12" t="n">
        <f aca="false">IF(B72&lt;=Notes!$B$26,A72,IF(WEEKDAY(A72)=7,A72+2,A72+1))</f>
        <v>45426</v>
      </c>
      <c r="L72" s="5" t="str">
        <f aca="false">IF(K72=A72,"Yes","No")</f>
        <v>Yes</v>
      </c>
      <c r="M72" s="5" t="str">
        <f aca="false">IF(E72="Express","No","Yes")</f>
        <v>No</v>
      </c>
      <c r="N72" s="5" t="n">
        <f aca="false">IF(M72="No",2*H72,0)</f>
        <v>4</v>
      </c>
      <c r="O72" s="14" t="n">
        <f aca="false">IF(N72=0,0,IF(G72="Matador",N72/Notes!$B$21*Notes!$B$22,N72/Notes!$B$23*Notes!$B$24))</f>
        <v>21.4825</v>
      </c>
    </row>
    <row r="73" customFormat="false" ht="15" hidden="false" customHeight="false" outlineLevel="0" collapsed="false">
      <c r="A73" s="12" t="n">
        <v>45426</v>
      </c>
      <c r="B73" s="13" t="n">
        <v>0.576388888888889</v>
      </c>
      <c r="C73" s="5" t="s">
        <v>54</v>
      </c>
      <c r="D73" s="5" t="str">
        <f aca="false">VLOOKUP(C73,Areas!$A$2:$E$32,3,FALSE())</f>
        <v>Central</v>
      </c>
      <c r="E73" s="5" t="s">
        <v>139</v>
      </c>
      <c r="F73" s="5" t="s">
        <v>138</v>
      </c>
      <c r="G73" s="5" t="str">
        <f aca="false">IF(F73="Large","Matador","Scooter")</f>
        <v>Scooter</v>
      </c>
      <c r="H73" s="5" t="n">
        <f aca="false">VLOOKUP(C73,Areas!$A$2:$E$32,4,FALSE())</f>
        <v>1</v>
      </c>
      <c r="I73" s="5" t="n">
        <f aca="false">2*H73</f>
        <v>2</v>
      </c>
      <c r="J73" s="14" t="n">
        <f aca="false">IF(G73="Matador",I73/Notes!$B$21*Notes!$B$22,I73/Notes!$B$23*Notes!$B$24)</f>
        <v>4.43733333333333</v>
      </c>
      <c r="K73" s="12" t="n">
        <f aca="false">IF(B73&lt;=Notes!$B$26,A73,IF(WEEKDAY(A73)=7,A73+2,A73+1))</f>
        <v>45427</v>
      </c>
      <c r="L73" s="5" t="str">
        <f aca="false">IF(K73=A73,"Yes","No")</f>
        <v>No</v>
      </c>
      <c r="M73" s="5" t="str">
        <f aca="false">IF(E73="Express","No","Yes")</f>
        <v>No</v>
      </c>
      <c r="N73" s="5" t="n">
        <f aca="false">IF(M73="No",2*H73,0)</f>
        <v>2</v>
      </c>
      <c r="O73" s="14" t="n">
        <f aca="false">IF(N73=0,0,IF(G73="Matador",N73/Notes!$B$21*Notes!$B$22,N73/Notes!$B$23*Notes!$B$24))</f>
        <v>4.43733333333333</v>
      </c>
    </row>
    <row r="74" customFormat="false" ht="15" hidden="false" customHeight="false" outlineLevel="0" collapsed="false">
      <c r="A74" s="12" t="n">
        <v>45426</v>
      </c>
      <c r="B74" s="13" t="n">
        <v>0.586805555555556</v>
      </c>
      <c r="C74" s="5" t="s">
        <v>74</v>
      </c>
      <c r="D74" s="5" t="str">
        <f aca="false">VLOOKUP(C74,Areas!$A$2:$E$32,3,FALSE())</f>
        <v>South</v>
      </c>
      <c r="E74" s="5" t="s">
        <v>137</v>
      </c>
      <c r="F74" s="5" t="s">
        <v>140</v>
      </c>
      <c r="G74" s="5" t="str">
        <f aca="false">IF(F74="Large","Matador","Scooter")</f>
        <v>Matador</v>
      </c>
      <c r="H74" s="5" t="n">
        <f aca="false">VLOOKUP(C74,Areas!$A$2:$E$32,4,FALSE())</f>
        <v>2.5</v>
      </c>
      <c r="I74" s="5" t="n">
        <f aca="false">2*H74</f>
        <v>5</v>
      </c>
      <c r="J74" s="14" t="n">
        <f aca="false">IF(G74="Matador",I74/Notes!$B$21*Notes!$B$22,I74/Notes!$B$23*Notes!$B$24)</f>
        <v>26.853125</v>
      </c>
      <c r="K74" s="12" t="n">
        <f aca="false">IF(B74&lt;=Notes!$B$26,A74,IF(WEEKDAY(A74)=7,A74+2,A74+1))</f>
        <v>45427</v>
      </c>
      <c r="L74" s="5" t="str">
        <f aca="false">IF(K74=A74,"Yes","No")</f>
        <v>No</v>
      </c>
      <c r="M74" s="5" t="str">
        <f aca="false">IF(E74="Express","No","Yes")</f>
        <v>Yes</v>
      </c>
      <c r="N74" s="5" t="n">
        <f aca="false">IF(M74="No",2*H74,0)</f>
        <v>0</v>
      </c>
      <c r="O74" s="14" t="n">
        <f aca="false">IF(N74=0,0,IF(G74="Matador",N74/Notes!$B$21*Notes!$B$22,N74/Notes!$B$23*Notes!$B$24))</f>
        <v>0</v>
      </c>
    </row>
    <row r="75" customFormat="false" ht="15" hidden="false" customHeight="false" outlineLevel="0" collapsed="false">
      <c r="A75" s="12" t="n">
        <v>45426</v>
      </c>
      <c r="B75" s="13" t="n">
        <v>0.71875</v>
      </c>
      <c r="C75" s="5" t="s">
        <v>71</v>
      </c>
      <c r="D75" s="5" t="str">
        <f aca="false">VLOOKUP(C75,Areas!$A$2:$E$32,3,FALSE())</f>
        <v>South</v>
      </c>
      <c r="E75" s="5" t="s">
        <v>137</v>
      </c>
      <c r="F75" s="5" t="s">
        <v>140</v>
      </c>
      <c r="G75" s="5" t="str">
        <f aca="false">IF(F75="Large","Matador","Scooter")</f>
        <v>Matador</v>
      </c>
      <c r="H75" s="5" t="n">
        <f aca="false">VLOOKUP(C75,Areas!$A$2:$E$32,4,FALSE())</f>
        <v>4.5</v>
      </c>
      <c r="I75" s="5" t="n">
        <f aca="false">2*H75</f>
        <v>9</v>
      </c>
      <c r="J75" s="14" t="n">
        <f aca="false">IF(G75="Matador",I75/Notes!$B$21*Notes!$B$22,I75/Notes!$B$23*Notes!$B$24)</f>
        <v>48.335625</v>
      </c>
      <c r="K75" s="12" t="n">
        <f aca="false">IF(B75&lt;=Notes!$B$26,A75,IF(WEEKDAY(A75)=7,A75+2,A75+1))</f>
        <v>45427</v>
      </c>
      <c r="L75" s="5" t="str">
        <f aca="false">IF(K75=A75,"Yes","No")</f>
        <v>No</v>
      </c>
      <c r="M75" s="5" t="str">
        <f aca="false">IF(E75="Express","No","Yes")</f>
        <v>Yes</v>
      </c>
      <c r="N75" s="5" t="n">
        <f aca="false">IF(M75="No",2*H75,0)</f>
        <v>0</v>
      </c>
      <c r="O75" s="14" t="n">
        <f aca="false">IF(N75=0,0,IF(G75="Matador",N75/Notes!$B$21*Notes!$B$22,N75/Notes!$B$23*Notes!$B$24))</f>
        <v>0</v>
      </c>
    </row>
    <row r="76" customFormat="false" ht="15" hidden="false" customHeight="false" outlineLevel="0" collapsed="false">
      <c r="A76" s="12" t="n">
        <v>45426</v>
      </c>
      <c r="B76" s="13" t="n">
        <v>0.777777777777778</v>
      </c>
      <c r="C76" s="5" t="s">
        <v>71</v>
      </c>
      <c r="D76" s="5" t="str">
        <f aca="false">VLOOKUP(C76,Areas!$A$2:$E$32,3,FALSE())</f>
        <v>South</v>
      </c>
      <c r="E76" s="5" t="s">
        <v>137</v>
      </c>
      <c r="F76" s="5" t="s">
        <v>140</v>
      </c>
      <c r="G76" s="5" t="str">
        <f aca="false">IF(F76="Large","Matador","Scooter")</f>
        <v>Matador</v>
      </c>
      <c r="H76" s="5" t="n">
        <f aca="false">VLOOKUP(C76,Areas!$A$2:$E$32,4,FALSE())</f>
        <v>4.5</v>
      </c>
      <c r="I76" s="5" t="n">
        <f aca="false">2*H76</f>
        <v>9</v>
      </c>
      <c r="J76" s="14" t="n">
        <f aca="false">IF(G76="Matador",I76/Notes!$B$21*Notes!$B$22,I76/Notes!$B$23*Notes!$B$24)</f>
        <v>48.335625</v>
      </c>
      <c r="K76" s="12" t="n">
        <f aca="false">IF(B76&lt;=Notes!$B$26,A76,IF(WEEKDAY(A76)=7,A76+2,A76+1))</f>
        <v>45427</v>
      </c>
      <c r="L76" s="5" t="str">
        <f aca="false">IF(K76=A76,"Yes","No")</f>
        <v>No</v>
      </c>
      <c r="M76" s="5" t="str">
        <f aca="false">IF(E76="Express","No","Yes")</f>
        <v>Yes</v>
      </c>
      <c r="N76" s="5" t="n">
        <f aca="false">IF(M76="No",2*H76,0)</f>
        <v>0</v>
      </c>
      <c r="O76" s="14" t="n">
        <f aca="false">IF(N76=0,0,IF(G76="Matador",N76/Notes!$B$21*Notes!$B$22,N76/Notes!$B$23*Notes!$B$24))</f>
        <v>0</v>
      </c>
    </row>
    <row r="77" customFormat="false" ht="15" hidden="false" customHeight="false" outlineLevel="0" collapsed="false">
      <c r="A77" s="12" t="n">
        <v>45426</v>
      </c>
      <c r="B77" s="13" t="n">
        <v>0.78125</v>
      </c>
      <c r="C77" s="5" t="s">
        <v>71</v>
      </c>
      <c r="D77" s="5" t="str">
        <f aca="false">VLOOKUP(C77,Areas!$A$2:$E$32,3,FALSE())</f>
        <v>South</v>
      </c>
      <c r="E77" s="5" t="s">
        <v>139</v>
      </c>
      <c r="F77" s="5" t="s">
        <v>140</v>
      </c>
      <c r="G77" s="5" t="str">
        <f aca="false">IF(F77="Large","Matador","Scooter")</f>
        <v>Matador</v>
      </c>
      <c r="H77" s="5" t="n">
        <f aca="false">VLOOKUP(C77,Areas!$A$2:$E$32,4,FALSE())</f>
        <v>4.5</v>
      </c>
      <c r="I77" s="5" t="n">
        <f aca="false">2*H77</f>
        <v>9</v>
      </c>
      <c r="J77" s="14" t="n">
        <f aca="false">IF(G77="Matador",I77/Notes!$B$21*Notes!$B$22,I77/Notes!$B$23*Notes!$B$24)</f>
        <v>48.335625</v>
      </c>
      <c r="K77" s="12" t="n">
        <f aca="false">IF(B77&lt;=Notes!$B$26,A77,IF(WEEKDAY(A77)=7,A77+2,A77+1))</f>
        <v>45427</v>
      </c>
      <c r="L77" s="5" t="str">
        <f aca="false">IF(K77=A77,"Yes","No")</f>
        <v>No</v>
      </c>
      <c r="M77" s="5" t="str">
        <f aca="false">IF(E77="Express","No","Yes")</f>
        <v>No</v>
      </c>
      <c r="N77" s="5" t="n">
        <f aca="false">IF(M77="No",2*H77,0)</f>
        <v>9</v>
      </c>
      <c r="O77" s="14" t="n">
        <f aca="false">IF(N77=0,0,IF(G77="Matador",N77/Notes!$B$21*Notes!$B$22,N77/Notes!$B$23*Notes!$B$24))</f>
        <v>48.335625</v>
      </c>
    </row>
    <row r="78" customFormat="false" ht="15" hidden="false" customHeight="false" outlineLevel="0" collapsed="false">
      <c r="A78" s="12" t="n">
        <v>45426</v>
      </c>
      <c r="B78" s="13" t="n">
        <v>0.798611111111111</v>
      </c>
      <c r="C78" s="5" t="s">
        <v>54</v>
      </c>
      <c r="D78" s="5" t="str">
        <f aca="false">VLOOKUP(C78,Areas!$A$2:$E$32,3,FALSE())</f>
        <v>Central</v>
      </c>
      <c r="E78" s="5" t="s">
        <v>139</v>
      </c>
      <c r="F78" s="5" t="s">
        <v>140</v>
      </c>
      <c r="G78" s="5" t="str">
        <f aca="false">IF(F78="Large","Matador","Scooter")</f>
        <v>Matador</v>
      </c>
      <c r="H78" s="5" t="n">
        <f aca="false">VLOOKUP(C78,Areas!$A$2:$E$32,4,FALSE())</f>
        <v>1</v>
      </c>
      <c r="I78" s="5" t="n">
        <f aca="false">2*H78</f>
        <v>2</v>
      </c>
      <c r="J78" s="14" t="n">
        <f aca="false">IF(G78="Matador",I78/Notes!$B$21*Notes!$B$22,I78/Notes!$B$23*Notes!$B$24)</f>
        <v>10.74125</v>
      </c>
      <c r="K78" s="12" t="n">
        <f aca="false">IF(B78&lt;=Notes!$B$26,A78,IF(WEEKDAY(A78)=7,A78+2,A78+1))</f>
        <v>45427</v>
      </c>
      <c r="L78" s="5" t="str">
        <f aca="false">IF(K78=A78,"Yes","No")</f>
        <v>No</v>
      </c>
      <c r="M78" s="5" t="str">
        <f aca="false">IF(E78="Express","No","Yes")</f>
        <v>No</v>
      </c>
      <c r="N78" s="5" t="n">
        <f aca="false">IF(M78="No",2*H78,0)</f>
        <v>2</v>
      </c>
      <c r="O78" s="14" t="n">
        <f aca="false">IF(N78=0,0,IF(G78="Matador",N78/Notes!$B$21*Notes!$B$22,N78/Notes!$B$23*Notes!$B$24))</f>
        <v>10.74125</v>
      </c>
    </row>
    <row r="79" customFormat="false" ht="15" hidden="false" customHeight="false" outlineLevel="0" collapsed="false">
      <c r="A79" s="12" t="n">
        <v>45427</v>
      </c>
      <c r="B79" s="13" t="n">
        <v>0.402777777777778</v>
      </c>
      <c r="C79" s="5" t="s">
        <v>78</v>
      </c>
      <c r="D79" s="5" t="str">
        <f aca="false">VLOOKUP(C79,Areas!$A$2:$E$32,3,FALSE())</f>
        <v>South</v>
      </c>
      <c r="E79" s="5" t="s">
        <v>139</v>
      </c>
      <c r="F79" s="5" t="s">
        <v>140</v>
      </c>
      <c r="G79" s="5" t="str">
        <f aca="false">IF(F79="Large","Matador","Scooter")</f>
        <v>Matador</v>
      </c>
      <c r="H79" s="5" t="n">
        <f aca="false">VLOOKUP(C79,Areas!$A$2:$E$32,4,FALSE())</f>
        <v>9</v>
      </c>
      <c r="I79" s="5" t="n">
        <f aca="false">2*H79</f>
        <v>18</v>
      </c>
      <c r="J79" s="14" t="n">
        <f aca="false">IF(G79="Matador",I79/Notes!$B$21*Notes!$B$22,I79/Notes!$B$23*Notes!$B$24)</f>
        <v>96.67125</v>
      </c>
      <c r="K79" s="12" t="n">
        <f aca="false">IF(B79&lt;=Notes!$B$26,A79,IF(WEEKDAY(A79)=7,A79+2,A79+1))</f>
        <v>45427</v>
      </c>
      <c r="L79" s="5" t="str">
        <f aca="false">IF(K79=A79,"Yes","No")</f>
        <v>Yes</v>
      </c>
      <c r="M79" s="5" t="str">
        <f aca="false">IF(E79="Express","No","Yes")</f>
        <v>No</v>
      </c>
      <c r="N79" s="5" t="n">
        <f aca="false">IF(M79="No",2*H79,0)</f>
        <v>18</v>
      </c>
      <c r="O79" s="14" t="n">
        <f aca="false">IF(N79=0,0,IF(G79="Matador",N79/Notes!$B$21*Notes!$B$22,N79/Notes!$B$23*Notes!$B$24))</f>
        <v>96.67125</v>
      </c>
    </row>
    <row r="80" customFormat="false" ht="15" hidden="false" customHeight="false" outlineLevel="0" collapsed="false">
      <c r="A80" s="12" t="n">
        <v>45427</v>
      </c>
      <c r="B80" s="13" t="n">
        <v>0.465277777777778</v>
      </c>
      <c r="C80" s="5" t="s">
        <v>62</v>
      </c>
      <c r="D80" s="5" t="str">
        <f aca="false">VLOOKUP(C80,Areas!$A$2:$E$32,3,FALSE())</f>
        <v>Central</v>
      </c>
      <c r="E80" s="5" t="s">
        <v>137</v>
      </c>
      <c r="F80" s="5" t="s">
        <v>138</v>
      </c>
      <c r="G80" s="5" t="str">
        <f aca="false">IF(F80="Large","Matador","Scooter")</f>
        <v>Scooter</v>
      </c>
      <c r="H80" s="5" t="n">
        <f aca="false">VLOOKUP(C80,Areas!$A$2:$E$32,4,FALSE())</f>
        <v>3.5</v>
      </c>
      <c r="I80" s="5" t="n">
        <f aca="false">2*H80</f>
        <v>7</v>
      </c>
      <c r="J80" s="14" t="n">
        <f aca="false">IF(G80="Matador",I80/Notes!$B$21*Notes!$B$22,I80/Notes!$B$23*Notes!$B$24)</f>
        <v>15.5306666666667</v>
      </c>
      <c r="K80" s="12" t="n">
        <f aca="false">IF(B80&lt;=Notes!$B$26,A80,IF(WEEKDAY(A80)=7,A80+2,A80+1))</f>
        <v>45427</v>
      </c>
      <c r="L80" s="5" t="str">
        <f aca="false">IF(K80=A80,"Yes","No")</f>
        <v>Yes</v>
      </c>
      <c r="M80" s="5" t="str">
        <f aca="false">IF(E80="Express","No","Yes")</f>
        <v>Yes</v>
      </c>
      <c r="N80" s="5" t="n">
        <f aca="false">IF(M80="No",2*H80,0)</f>
        <v>0</v>
      </c>
      <c r="O80" s="14" t="n">
        <f aca="false">IF(N80=0,0,IF(G80="Matador",N80/Notes!$B$21*Notes!$B$22,N80/Notes!$B$23*Notes!$B$24))</f>
        <v>0</v>
      </c>
    </row>
    <row r="81" customFormat="false" ht="15" hidden="false" customHeight="false" outlineLevel="0" collapsed="false">
      <c r="A81" s="12" t="n">
        <v>45427</v>
      </c>
      <c r="B81" s="13" t="n">
        <v>0.489583333333333</v>
      </c>
      <c r="C81" s="5" t="s">
        <v>60</v>
      </c>
      <c r="D81" s="5" t="str">
        <f aca="false">VLOOKUP(C81,Areas!$A$2:$E$32,3,FALSE())</f>
        <v>Central</v>
      </c>
      <c r="E81" s="5" t="s">
        <v>137</v>
      </c>
      <c r="F81" s="5" t="s">
        <v>140</v>
      </c>
      <c r="G81" s="5" t="str">
        <f aca="false">IF(F81="Large","Matador","Scooter")</f>
        <v>Matador</v>
      </c>
      <c r="H81" s="5" t="n">
        <f aca="false">VLOOKUP(C81,Areas!$A$2:$E$32,4,FALSE())</f>
        <v>2</v>
      </c>
      <c r="I81" s="5" t="n">
        <f aca="false">2*H81</f>
        <v>4</v>
      </c>
      <c r="J81" s="14" t="n">
        <f aca="false">IF(G81="Matador",I81/Notes!$B$21*Notes!$B$22,I81/Notes!$B$23*Notes!$B$24)</f>
        <v>21.4825</v>
      </c>
      <c r="K81" s="12" t="n">
        <f aca="false">IF(B81&lt;=Notes!$B$26,A81,IF(WEEKDAY(A81)=7,A81+2,A81+1))</f>
        <v>45427</v>
      </c>
      <c r="L81" s="5" t="str">
        <f aca="false">IF(K81=A81,"Yes","No")</f>
        <v>Yes</v>
      </c>
      <c r="M81" s="5" t="str">
        <f aca="false">IF(E81="Express","No","Yes")</f>
        <v>Yes</v>
      </c>
      <c r="N81" s="5" t="n">
        <f aca="false">IF(M81="No",2*H81,0)</f>
        <v>0</v>
      </c>
      <c r="O81" s="14" t="n">
        <f aca="false">IF(N81=0,0,IF(G81="Matador",N81/Notes!$B$21*Notes!$B$22,N81/Notes!$B$23*Notes!$B$24))</f>
        <v>0</v>
      </c>
    </row>
    <row r="82" customFormat="false" ht="15" hidden="false" customHeight="false" outlineLevel="0" collapsed="false">
      <c r="A82" s="12" t="n">
        <v>45427</v>
      </c>
      <c r="B82" s="13" t="n">
        <v>0.545138888888889</v>
      </c>
      <c r="C82" s="5" t="s">
        <v>54</v>
      </c>
      <c r="D82" s="5" t="str">
        <f aca="false">VLOOKUP(C82,Areas!$A$2:$E$32,3,FALSE())</f>
        <v>Central</v>
      </c>
      <c r="E82" s="5" t="s">
        <v>139</v>
      </c>
      <c r="F82" s="5" t="s">
        <v>138</v>
      </c>
      <c r="G82" s="5" t="str">
        <f aca="false">IF(F82="Large","Matador","Scooter")</f>
        <v>Scooter</v>
      </c>
      <c r="H82" s="5" t="n">
        <f aca="false">VLOOKUP(C82,Areas!$A$2:$E$32,4,FALSE())</f>
        <v>1</v>
      </c>
      <c r="I82" s="5" t="n">
        <f aca="false">2*H82</f>
        <v>2</v>
      </c>
      <c r="J82" s="14" t="n">
        <f aca="false">IF(G82="Matador",I82/Notes!$B$21*Notes!$B$22,I82/Notes!$B$23*Notes!$B$24)</f>
        <v>4.43733333333333</v>
      </c>
      <c r="K82" s="12" t="n">
        <f aca="false">IF(B82&lt;=Notes!$B$26,A82,IF(WEEKDAY(A82)=7,A82+2,A82+1))</f>
        <v>45428</v>
      </c>
      <c r="L82" s="5" t="str">
        <f aca="false">IF(K82=A82,"Yes","No")</f>
        <v>No</v>
      </c>
      <c r="M82" s="5" t="str">
        <f aca="false">IF(E82="Express","No","Yes")</f>
        <v>No</v>
      </c>
      <c r="N82" s="5" t="n">
        <f aca="false">IF(M82="No",2*H82,0)</f>
        <v>2</v>
      </c>
      <c r="O82" s="14" t="n">
        <f aca="false">IF(N82=0,0,IF(G82="Matador",N82/Notes!$B$21*Notes!$B$22,N82/Notes!$B$23*Notes!$B$24))</f>
        <v>4.43733333333333</v>
      </c>
    </row>
    <row r="83" customFormat="false" ht="15" hidden="false" customHeight="false" outlineLevel="0" collapsed="false">
      <c r="A83" s="12" t="n">
        <v>45427</v>
      </c>
      <c r="B83" s="13" t="n">
        <v>0.59375</v>
      </c>
      <c r="C83" s="5" t="s">
        <v>58</v>
      </c>
      <c r="D83" s="5" t="str">
        <f aca="false">VLOOKUP(C83,Areas!$A$2:$E$32,3,FALSE())</f>
        <v>Central</v>
      </c>
      <c r="E83" s="5" t="s">
        <v>139</v>
      </c>
      <c r="F83" s="5" t="s">
        <v>138</v>
      </c>
      <c r="G83" s="5" t="str">
        <f aca="false">IF(F83="Large","Matador","Scooter")</f>
        <v>Scooter</v>
      </c>
      <c r="H83" s="5" t="n">
        <f aca="false">VLOOKUP(C83,Areas!$A$2:$E$32,4,FALSE())</f>
        <v>2</v>
      </c>
      <c r="I83" s="5" t="n">
        <f aca="false">2*H83</f>
        <v>4</v>
      </c>
      <c r="J83" s="14" t="n">
        <f aca="false">IF(G83="Matador",I83/Notes!$B$21*Notes!$B$22,I83/Notes!$B$23*Notes!$B$24)</f>
        <v>8.87466666666667</v>
      </c>
      <c r="K83" s="12" t="n">
        <f aca="false">IF(B83&lt;=Notes!$B$26,A83,IF(WEEKDAY(A83)=7,A83+2,A83+1))</f>
        <v>45428</v>
      </c>
      <c r="L83" s="5" t="str">
        <f aca="false">IF(K83=A83,"Yes","No")</f>
        <v>No</v>
      </c>
      <c r="M83" s="5" t="str">
        <f aca="false">IF(E83="Express","No","Yes")</f>
        <v>No</v>
      </c>
      <c r="N83" s="5" t="n">
        <f aca="false">IF(M83="No",2*H83,0)</f>
        <v>4</v>
      </c>
      <c r="O83" s="14" t="n">
        <f aca="false">IF(N83=0,0,IF(G83="Matador",N83/Notes!$B$21*Notes!$B$22,N83/Notes!$B$23*Notes!$B$24))</f>
        <v>8.87466666666667</v>
      </c>
    </row>
    <row r="84" customFormat="false" ht="15" hidden="false" customHeight="false" outlineLevel="0" collapsed="false">
      <c r="A84" s="12" t="n">
        <v>45427</v>
      </c>
      <c r="B84" s="13" t="n">
        <v>0.677083333333333</v>
      </c>
      <c r="C84" s="5" t="s">
        <v>58</v>
      </c>
      <c r="D84" s="5" t="str">
        <f aca="false">VLOOKUP(C84,Areas!$A$2:$E$32,3,FALSE())</f>
        <v>Central</v>
      </c>
      <c r="E84" s="5" t="s">
        <v>139</v>
      </c>
      <c r="F84" s="5" t="s">
        <v>140</v>
      </c>
      <c r="G84" s="5" t="str">
        <f aca="false">IF(F84="Large","Matador","Scooter")</f>
        <v>Matador</v>
      </c>
      <c r="H84" s="5" t="n">
        <f aca="false">VLOOKUP(C84,Areas!$A$2:$E$32,4,FALSE())</f>
        <v>2</v>
      </c>
      <c r="I84" s="5" t="n">
        <f aca="false">2*H84</f>
        <v>4</v>
      </c>
      <c r="J84" s="14" t="n">
        <f aca="false">IF(G84="Matador",I84/Notes!$B$21*Notes!$B$22,I84/Notes!$B$23*Notes!$B$24)</f>
        <v>21.4825</v>
      </c>
      <c r="K84" s="12" t="n">
        <f aca="false">IF(B84&lt;=Notes!$B$26,A84,IF(WEEKDAY(A84)=7,A84+2,A84+1))</f>
        <v>45428</v>
      </c>
      <c r="L84" s="5" t="str">
        <f aca="false">IF(K84=A84,"Yes","No")</f>
        <v>No</v>
      </c>
      <c r="M84" s="5" t="str">
        <f aca="false">IF(E84="Express","No","Yes")</f>
        <v>No</v>
      </c>
      <c r="N84" s="5" t="n">
        <f aca="false">IF(M84="No",2*H84,0)</f>
        <v>4</v>
      </c>
      <c r="O84" s="14" t="n">
        <f aca="false">IF(N84=0,0,IF(G84="Matador",N84/Notes!$B$21*Notes!$B$22,N84/Notes!$B$23*Notes!$B$24))</f>
        <v>21.4825</v>
      </c>
    </row>
    <row r="85" customFormat="false" ht="15" hidden="false" customHeight="false" outlineLevel="0" collapsed="false">
      <c r="A85" s="12" t="n">
        <v>45427</v>
      </c>
      <c r="B85" s="13" t="n">
        <v>0.680555555555556</v>
      </c>
      <c r="C85" s="5" t="s">
        <v>78</v>
      </c>
      <c r="D85" s="5" t="str">
        <f aca="false">VLOOKUP(C85,Areas!$A$2:$E$32,3,FALSE())</f>
        <v>South</v>
      </c>
      <c r="E85" s="5" t="s">
        <v>139</v>
      </c>
      <c r="F85" s="5" t="s">
        <v>138</v>
      </c>
      <c r="G85" s="5" t="str">
        <f aca="false">IF(F85="Large","Matador","Scooter")</f>
        <v>Scooter</v>
      </c>
      <c r="H85" s="5" t="n">
        <f aca="false">VLOOKUP(C85,Areas!$A$2:$E$32,4,FALSE())</f>
        <v>9</v>
      </c>
      <c r="I85" s="5" t="n">
        <f aca="false">2*H85</f>
        <v>18</v>
      </c>
      <c r="J85" s="14" t="n">
        <f aca="false">IF(G85="Matador",I85/Notes!$B$21*Notes!$B$22,I85/Notes!$B$23*Notes!$B$24)</f>
        <v>39.936</v>
      </c>
      <c r="K85" s="12" t="n">
        <f aca="false">IF(B85&lt;=Notes!$B$26,A85,IF(WEEKDAY(A85)=7,A85+2,A85+1))</f>
        <v>45428</v>
      </c>
      <c r="L85" s="5" t="str">
        <f aca="false">IF(K85=A85,"Yes","No")</f>
        <v>No</v>
      </c>
      <c r="M85" s="5" t="str">
        <f aca="false">IF(E85="Express","No","Yes")</f>
        <v>No</v>
      </c>
      <c r="N85" s="5" t="n">
        <f aca="false">IF(M85="No",2*H85,0)</f>
        <v>18</v>
      </c>
      <c r="O85" s="14" t="n">
        <f aca="false">IF(N85=0,0,IF(G85="Matador",N85/Notes!$B$21*Notes!$B$22,N85/Notes!$B$23*Notes!$B$24))</f>
        <v>39.936</v>
      </c>
    </row>
    <row r="86" customFormat="false" ht="15" hidden="false" customHeight="false" outlineLevel="0" collapsed="false">
      <c r="A86" s="12" t="n">
        <v>45427</v>
      </c>
      <c r="B86" s="13" t="n">
        <v>0.694444444444444</v>
      </c>
      <c r="C86" s="5" t="s">
        <v>66</v>
      </c>
      <c r="D86" s="5" t="str">
        <f aca="false">VLOOKUP(C86,Areas!$A$2:$E$32,3,FALSE())</f>
        <v>Central</v>
      </c>
      <c r="E86" s="5" t="s">
        <v>137</v>
      </c>
      <c r="F86" s="5" t="s">
        <v>138</v>
      </c>
      <c r="G86" s="5" t="str">
        <f aca="false">IF(F86="Large","Matador","Scooter")</f>
        <v>Scooter</v>
      </c>
      <c r="H86" s="5" t="n">
        <f aca="false">VLOOKUP(C86,Areas!$A$2:$E$32,4,FALSE())</f>
        <v>6</v>
      </c>
      <c r="I86" s="5" t="n">
        <f aca="false">2*H86</f>
        <v>12</v>
      </c>
      <c r="J86" s="14" t="n">
        <f aca="false">IF(G86="Matador",I86/Notes!$B$21*Notes!$B$22,I86/Notes!$B$23*Notes!$B$24)</f>
        <v>26.624</v>
      </c>
      <c r="K86" s="12" t="n">
        <f aca="false">IF(B86&lt;=Notes!$B$26,A86,IF(WEEKDAY(A86)=7,A86+2,A86+1))</f>
        <v>45428</v>
      </c>
      <c r="L86" s="5" t="str">
        <f aca="false">IF(K86=A86,"Yes","No")</f>
        <v>No</v>
      </c>
      <c r="M86" s="5" t="str">
        <f aca="false">IF(E86="Express","No","Yes")</f>
        <v>Yes</v>
      </c>
      <c r="N86" s="5" t="n">
        <f aca="false">IF(M86="No",2*H86,0)</f>
        <v>0</v>
      </c>
      <c r="O86" s="14" t="n">
        <f aca="false">IF(N86=0,0,IF(G86="Matador",N86/Notes!$B$21*Notes!$B$22,N86/Notes!$B$23*Notes!$B$24))</f>
        <v>0</v>
      </c>
    </row>
    <row r="87" customFormat="false" ht="15" hidden="false" customHeight="false" outlineLevel="0" collapsed="false">
      <c r="A87" s="12" t="n">
        <v>45427</v>
      </c>
      <c r="B87" s="13" t="n">
        <v>0.760416666666667</v>
      </c>
      <c r="C87" s="5" t="s">
        <v>54</v>
      </c>
      <c r="D87" s="5" t="str">
        <f aca="false">VLOOKUP(C87,Areas!$A$2:$E$32,3,FALSE())</f>
        <v>Central</v>
      </c>
      <c r="E87" s="5" t="s">
        <v>139</v>
      </c>
      <c r="F87" s="5" t="s">
        <v>138</v>
      </c>
      <c r="G87" s="5" t="str">
        <f aca="false">IF(F87="Large","Matador","Scooter")</f>
        <v>Scooter</v>
      </c>
      <c r="H87" s="5" t="n">
        <f aca="false">VLOOKUP(C87,Areas!$A$2:$E$32,4,FALSE())</f>
        <v>1</v>
      </c>
      <c r="I87" s="5" t="n">
        <f aca="false">2*H87</f>
        <v>2</v>
      </c>
      <c r="J87" s="14" t="n">
        <f aca="false">IF(G87="Matador",I87/Notes!$B$21*Notes!$B$22,I87/Notes!$B$23*Notes!$B$24)</f>
        <v>4.43733333333333</v>
      </c>
      <c r="K87" s="12" t="n">
        <f aca="false">IF(B87&lt;=Notes!$B$26,A87,IF(WEEKDAY(A87)=7,A87+2,A87+1))</f>
        <v>45428</v>
      </c>
      <c r="L87" s="5" t="str">
        <f aca="false">IF(K87=A87,"Yes","No")</f>
        <v>No</v>
      </c>
      <c r="M87" s="5" t="str">
        <f aca="false">IF(E87="Express","No","Yes")</f>
        <v>No</v>
      </c>
      <c r="N87" s="5" t="n">
        <f aca="false">IF(M87="No",2*H87,0)</f>
        <v>2</v>
      </c>
      <c r="O87" s="14" t="n">
        <f aca="false">IF(N87=0,0,IF(G87="Matador",N87/Notes!$B$21*Notes!$B$22,N87/Notes!$B$23*Notes!$B$24))</f>
        <v>4.43733333333333</v>
      </c>
    </row>
    <row r="88" customFormat="false" ht="15" hidden="false" customHeight="false" outlineLevel="0" collapsed="false">
      <c r="A88" s="12" t="n">
        <v>45427</v>
      </c>
      <c r="B88" s="13" t="n">
        <v>0.78125</v>
      </c>
      <c r="C88" s="5" t="s">
        <v>102</v>
      </c>
      <c r="D88" s="5" t="str">
        <f aca="false">VLOOKUP(C88,Areas!$A$2:$E$32,3,FALSE())</f>
        <v>North</v>
      </c>
      <c r="E88" s="5" t="s">
        <v>137</v>
      </c>
      <c r="F88" s="5" t="s">
        <v>138</v>
      </c>
      <c r="G88" s="5" t="str">
        <f aca="false">IF(F88="Large","Matador","Scooter")</f>
        <v>Scooter</v>
      </c>
      <c r="H88" s="5" t="n">
        <f aca="false">VLOOKUP(C88,Areas!$A$2:$E$32,4,FALSE())</f>
        <v>11</v>
      </c>
      <c r="I88" s="5" t="n">
        <f aca="false">2*H88</f>
        <v>22</v>
      </c>
      <c r="J88" s="14" t="n">
        <f aca="false">IF(G88="Matador",I88/Notes!$B$21*Notes!$B$22,I88/Notes!$B$23*Notes!$B$24)</f>
        <v>48.8106666666667</v>
      </c>
      <c r="K88" s="12" t="n">
        <f aca="false">IF(B88&lt;=Notes!$B$26,A88,IF(WEEKDAY(A88)=7,A88+2,A88+1))</f>
        <v>45428</v>
      </c>
      <c r="L88" s="5" t="str">
        <f aca="false">IF(K88=A88,"Yes","No")</f>
        <v>No</v>
      </c>
      <c r="M88" s="5" t="str">
        <f aca="false">IF(E88="Express","No","Yes")</f>
        <v>Yes</v>
      </c>
      <c r="N88" s="5" t="n">
        <f aca="false">IF(M88="No",2*H88,0)</f>
        <v>0</v>
      </c>
      <c r="O88" s="14" t="n">
        <f aca="false">IF(N88=0,0,IF(G88="Matador",N88/Notes!$B$21*Notes!$B$22,N88/Notes!$B$23*Notes!$B$24))</f>
        <v>0</v>
      </c>
    </row>
    <row r="89" customFormat="false" ht="15" hidden="false" customHeight="false" outlineLevel="0" collapsed="false">
      <c r="A89" s="12" t="n">
        <v>45428</v>
      </c>
      <c r="B89" s="13" t="n">
        <v>0.440972222222222</v>
      </c>
      <c r="C89" s="5" t="s">
        <v>95</v>
      </c>
      <c r="D89" s="5" t="str">
        <f aca="false">VLOOKUP(C89,Areas!$A$2:$E$32,3,FALSE())</f>
        <v>West</v>
      </c>
      <c r="E89" s="5" t="s">
        <v>139</v>
      </c>
      <c r="F89" s="5" t="s">
        <v>138</v>
      </c>
      <c r="G89" s="5" t="str">
        <f aca="false">IF(F89="Large","Matador","Scooter")</f>
        <v>Scooter</v>
      </c>
      <c r="H89" s="5" t="n">
        <f aca="false">VLOOKUP(C89,Areas!$A$2:$E$32,4,FALSE())</f>
        <v>9</v>
      </c>
      <c r="I89" s="5" t="n">
        <f aca="false">2*H89</f>
        <v>18</v>
      </c>
      <c r="J89" s="14" t="n">
        <f aca="false">IF(G89="Matador",I89/Notes!$B$21*Notes!$B$22,I89/Notes!$B$23*Notes!$B$24)</f>
        <v>39.936</v>
      </c>
      <c r="K89" s="12" t="n">
        <f aca="false">IF(B89&lt;=Notes!$B$26,A89,IF(WEEKDAY(A89)=7,A89+2,A89+1))</f>
        <v>45428</v>
      </c>
      <c r="L89" s="5" t="str">
        <f aca="false">IF(K89=A89,"Yes","No")</f>
        <v>Yes</v>
      </c>
      <c r="M89" s="5" t="str">
        <f aca="false">IF(E89="Express","No","Yes")</f>
        <v>No</v>
      </c>
      <c r="N89" s="5" t="n">
        <f aca="false">IF(M89="No",2*H89,0)</f>
        <v>18</v>
      </c>
      <c r="O89" s="14" t="n">
        <f aca="false">IF(N89=0,0,IF(G89="Matador",N89/Notes!$B$21*Notes!$B$22,N89/Notes!$B$23*Notes!$B$24))</f>
        <v>39.936</v>
      </c>
    </row>
    <row r="90" customFormat="false" ht="15" hidden="false" customHeight="false" outlineLevel="0" collapsed="false">
      <c r="A90" s="12" t="n">
        <v>45428</v>
      </c>
      <c r="B90" s="13" t="n">
        <v>0.465277777777778</v>
      </c>
      <c r="C90" s="5" t="s">
        <v>64</v>
      </c>
      <c r="D90" s="5" t="str">
        <f aca="false">VLOOKUP(C90,Areas!$A$2:$E$32,3,FALSE())</f>
        <v>Central</v>
      </c>
      <c r="E90" s="5" t="s">
        <v>139</v>
      </c>
      <c r="F90" s="5" t="s">
        <v>138</v>
      </c>
      <c r="G90" s="5" t="str">
        <f aca="false">IF(F90="Large","Matador","Scooter")</f>
        <v>Scooter</v>
      </c>
      <c r="H90" s="5" t="n">
        <f aca="false">VLOOKUP(C90,Areas!$A$2:$E$32,4,FALSE())</f>
        <v>3</v>
      </c>
      <c r="I90" s="5" t="n">
        <f aca="false">2*H90</f>
        <v>6</v>
      </c>
      <c r="J90" s="14" t="n">
        <f aca="false">IF(G90="Matador",I90/Notes!$B$21*Notes!$B$22,I90/Notes!$B$23*Notes!$B$24)</f>
        <v>13.312</v>
      </c>
      <c r="K90" s="12" t="n">
        <f aca="false">IF(B90&lt;=Notes!$B$26,A90,IF(WEEKDAY(A90)=7,A90+2,A90+1))</f>
        <v>45428</v>
      </c>
      <c r="L90" s="5" t="str">
        <f aca="false">IF(K90=A90,"Yes","No")</f>
        <v>Yes</v>
      </c>
      <c r="M90" s="5" t="str">
        <f aca="false">IF(E90="Express","No","Yes")</f>
        <v>No</v>
      </c>
      <c r="N90" s="5" t="n">
        <f aca="false">IF(M90="No",2*H90,0)</f>
        <v>6</v>
      </c>
      <c r="O90" s="14" t="n">
        <f aca="false">IF(N90=0,0,IF(G90="Matador",N90/Notes!$B$21*Notes!$B$22,N90/Notes!$B$23*Notes!$B$24))</f>
        <v>13.312</v>
      </c>
    </row>
    <row r="91" customFormat="false" ht="15" hidden="false" customHeight="false" outlineLevel="0" collapsed="false">
      <c r="A91" s="12" t="n">
        <v>45428</v>
      </c>
      <c r="B91" s="13" t="n">
        <v>0.486111111111111</v>
      </c>
      <c r="C91" s="5" t="s">
        <v>69</v>
      </c>
      <c r="D91" s="5" t="str">
        <f aca="false">VLOOKUP(C91,Areas!$A$2:$E$32,3,FALSE())</f>
        <v>Central</v>
      </c>
      <c r="E91" s="5" t="s">
        <v>139</v>
      </c>
      <c r="F91" s="5" t="s">
        <v>138</v>
      </c>
      <c r="G91" s="5" t="str">
        <f aca="false">IF(F91="Large","Matador","Scooter")</f>
        <v>Scooter</v>
      </c>
      <c r="H91" s="5" t="n">
        <f aca="false">VLOOKUP(C91,Areas!$A$2:$E$32,4,FALSE())</f>
        <v>4.5</v>
      </c>
      <c r="I91" s="5" t="n">
        <f aca="false">2*H91</f>
        <v>9</v>
      </c>
      <c r="J91" s="14" t="n">
        <f aca="false">IF(G91="Matador",I91/Notes!$B$21*Notes!$B$22,I91/Notes!$B$23*Notes!$B$24)</f>
        <v>19.968</v>
      </c>
      <c r="K91" s="12" t="n">
        <f aca="false">IF(B91&lt;=Notes!$B$26,A91,IF(WEEKDAY(A91)=7,A91+2,A91+1))</f>
        <v>45428</v>
      </c>
      <c r="L91" s="5" t="str">
        <f aca="false">IF(K91=A91,"Yes","No")</f>
        <v>Yes</v>
      </c>
      <c r="M91" s="5" t="str">
        <f aca="false">IF(E91="Express","No","Yes")</f>
        <v>No</v>
      </c>
      <c r="N91" s="5" t="n">
        <f aca="false">IF(M91="No",2*H91,0)</f>
        <v>9</v>
      </c>
      <c r="O91" s="14" t="n">
        <f aca="false">IF(N91=0,0,IF(G91="Matador",N91/Notes!$B$21*Notes!$B$22,N91/Notes!$B$23*Notes!$B$24))</f>
        <v>19.968</v>
      </c>
    </row>
    <row r="92" customFormat="false" ht="15" hidden="false" customHeight="false" outlineLevel="0" collapsed="false">
      <c r="A92" s="12" t="n">
        <v>45428</v>
      </c>
      <c r="B92" s="13" t="n">
        <v>0.496527777777778</v>
      </c>
      <c r="C92" s="5" t="s">
        <v>74</v>
      </c>
      <c r="D92" s="5" t="str">
        <f aca="false">VLOOKUP(C92,Areas!$A$2:$E$32,3,FALSE())</f>
        <v>South</v>
      </c>
      <c r="E92" s="5" t="s">
        <v>137</v>
      </c>
      <c r="F92" s="5" t="s">
        <v>138</v>
      </c>
      <c r="G92" s="5" t="str">
        <f aca="false">IF(F92="Large","Matador","Scooter")</f>
        <v>Scooter</v>
      </c>
      <c r="H92" s="5" t="n">
        <f aca="false">VLOOKUP(C92,Areas!$A$2:$E$32,4,FALSE())</f>
        <v>2.5</v>
      </c>
      <c r="I92" s="5" t="n">
        <f aca="false">2*H92</f>
        <v>5</v>
      </c>
      <c r="J92" s="14" t="n">
        <f aca="false">IF(G92="Matador",I92/Notes!$B$21*Notes!$B$22,I92/Notes!$B$23*Notes!$B$24)</f>
        <v>11.0933333333333</v>
      </c>
      <c r="K92" s="12" t="n">
        <f aca="false">IF(B92&lt;=Notes!$B$26,A92,IF(WEEKDAY(A92)=7,A92+2,A92+1))</f>
        <v>45428</v>
      </c>
      <c r="L92" s="5" t="str">
        <f aca="false">IF(K92=A92,"Yes","No")</f>
        <v>Yes</v>
      </c>
      <c r="M92" s="5" t="str">
        <f aca="false">IF(E92="Express","No","Yes")</f>
        <v>Yes</v>
      </c>
      <c r="N92" s="5" t="n">
        <f aca="false">IF(M92="No",2*H92,0)</f>
        <v>0</v>
      </c>
      <c r="O92" s="14" t="n">
        <f aca="false">IF(N92=0,0,IF(G92="Matador",N92/Notes!$B$21*Notes!$B$22,N92/Notes!$B$23*Notes!$B$24))</f>
        <v>0</v>
      </c>
    </row>
    <row r="93" customFormat="false" ht="15" hidden="false" customHeight="false" outlineLevel="0" collapsed="false">
      <c r="A93" s="12" t="n">
        <v>45428</v>
      </c>
      <c r="B93" s="13" t="n">
        <v>0.496527777777778</v>
      </c>
      <c r="C93" s="5" t="s">
        <v>76</v>
      </c>
      <c r="D93" s="5" t="str">
        <f aca="false">VLOOKUP(C93,Areas!$A$2:$E$32,3,FALSE())</f>
        <v>South</v>
      </c>
      <c r="E93" s="5" t="s">
        <v>139</v>
      </c>
      <c r="F93" s="5" t="s">
        <v>140</v>
      </c>
      <c r="G93" s="5" t="str">
        <f aca="false">IF(F93="Large","Matador","Scooter")</f>
        <v>Matador</v>
      </c>
      <c r="H93" s="5" t="n">
        <f aca="false">VLOOKUP(C93,Areas!$A$2:$E$32,4,FALSE())</f>
        <v>7</v>
      </c>
      <c r="I93" s="5" t="n">
        <f aca="false">2*H93</f>
        <v>14</v>
      </c>
      <c r="J93" s="14" t="n">
        <f aca="false">IF(G93="Matador",I93/Notes!$B$21*Notes!$B$22,I93/Notes!$B$23*Notes!$B$24)</f>
        <v>75.18875</v>
      </c>
      <c r="K93" s="12" t="n">
        <f aca="false">IF(B93&lt;=Notes!$B$26,A93,IF(WEEKDAY(A93)=7,A93+2,A93+1))</f>
        <v>45428</v>
      </c>
      <c r="L93" s="5" t="str">
        <f aca="false">IF(K93=A93,"Yes","No")</f>
        <v>Yes</v>
      </c>
      <c r="M93" s="5" t="str">
        <f aca="false">IF(E93="Express","No","Yes")</f>
        <v>No</v>
      </c>
      <c r="N93" s="5" t="n">
        <f aca="false">IF(M93="No",2*H93,0)</f>
        <v>14</v>
      </c>
      <c r="O93" s="14" t="n">
        <f aca="false">IF(N93=0,0,IF(G93="Matador",N93/Notes!$B$21*Notes!$B$22,N93/Notes!$B$23*Notes!$B$24))</f>
        <v>75.18875</v>
      </c>
    </row>
    <row r="94" customFormat="false" ht="15" hidden="false" customHeight="false" outlineLevel="0" collapsed="false">
      <c r="A94" s="12" t="n">
        <v>45428</v>
      </c>
      <c r="B94" s="13" t="n">
        <v>0.579861111111111</v>
      </c>
      <c r="C94" s="5" t="s">
        <v>82</v>
      </c>
      <c r="D94" s="5" t="str">
        <f aca="false">VLOOKUP(C94,Areas!$A$2:$E$32,3,FALSE())</f>
        <v>South</v>
      </c>
      <c r="E94" s="5" t="s">
        <v>137</v>
      </c>
      <c r="F94" s="5" t="s">
        <v>138</v>
      </c>
      <c r="G94" s="5" t="str">
        <f aca="false">IF(F94="Large","Matador","Scooter")</f>
        <v>Scooter</v>
      </c>
      <c r="H94" s="5" t="n">
        <f aca="false">VLOOKUP(C94,Areas!$A$2:$E$32,4,FALSE())</f>
        <v>11.5</v>
      </c>
      <c r="I94" s="5" t="n">
        <f aca="false">2*H94</f>
        <v>23</v>
      </c>
      <c r="J94" s="14" t="n">
        <f aca="false">IF(G94="Matador",I94/Notes!$B$21*Notes!$B$22,I94/Notes!$B$23*Notes!$B$24)</f>
        <v>51.0293333333333</v>
      </c>
      <c r="K94" s="12" t="n">
        <f aca="false">IF(B94&lt;=Notes!$B$26,A94,IF(WEEKDAY(A94)=7,A94+2,A94+1))</f>
        <v>45429</v>
      </c>
      <c r="L94" s="5" t="str">
        <f aca="false">IF(K94=A94,"Yes","No")</f>
        <v>No</v>
      </c>
      <c r="M94" s="5" t="str">
        <f aca="false">IF(E94="Express","No","Yes")</f>
        <v>Yes</v>
      </c>
      <c r="N94" s="5" t="n">
        <f aca="false">IF(M94="No",2*H94,0)</f>
        <v>0</v>
      </c>
      <c r="O94" s="14" t="n">
        <f aca="false">IF(N94=0,0,IF(G94="Matador",N94/Notes!$B$21*Notes!$B$22,N94/Notes!$B$23*Notes!$B$24))</f>
        <v>0</v>
      </c>
    </row>
    <row r="95" customFormat="false" ht="15" hidden="false" customHeight="false" outlineLevel="0" collapsed="false">
      <c r="A95" s="12" t="n">
        <v>45428</v>
      </c>
      <c r="B95" s="13" t="n">
        <v>0.611111111111111</v>
      </c>
      <c r="C95" s="5" t="s">
        <v>69</v>
      </c>
      <c r="D95" s="5" t="str">
        <f aca="false">VLOOKUP(C95,Areas!$A$2:$E$32,3,FALSE())</f>
        <v>Central</v>
      </c>
      <c r="E95" s="5" t="s">
        <v>139</v>
      </c>
      <c r="F95" s="5" t="s">
        <v>138</v>
      </c>
      <c r="G95" s="5" t="str">
        <f aca="false">IF(F95="Large","Matador","Scooter")</f>
        <v>Scooter</v>
      </c>
      <c r="H95" s="5" t="n">
        <f aca="false">VLOOKUP(C95,Areas!$A$2:$E$32,4,FALSE())</f>
        <v>4.5</v>
      </c>
      <c r="I95" s="5" t="n">
        <f aca="false">2*H95</f>
        <v>9</v>
      </c>
      <c r="J95" s="14" t="n">
        <f aca="false">IF(G95="Matador",I95/Notes!$B$21*Notes!$B$22,I95/Notes!$B$23*Notes!$B$24)</f>
        <v>19.968</v>
      </c>
      <c r="K95" s="12" t="n">
        <f aca="false">IF(B95&lt;=Notes!$B$26,A95,IF(WEEKDAY(A95)=7,A95+2,A95+1))</f>
        <v>45429</v>
      </c>
      <c r="L95" s="5" t="str">
        <f aca="false">IF(K95=A95,"Yes","No")</f>
        <v>No</v>
      </c>
      <c r="M95" s="5" t="str">
        <f aca="false">IF(E95="Express","No","Yes")</f>
        <v>No</v>
      </c>
      <c r="N95" s="5" t="n">
        <f aca="false">IF(M95="No",2*H95,0)</f>
        <v>9</v>
      </c>
      <c r="O95" s="14" t="n">
        <f aca="false">IF(N95=0,0,IF(G95="Matador",N95/Notes!$B$21*Notes!$B$22,N95/Notes!$B$23*Notes!$B$24))</f>
        <v>19.968</v>
      </c>
    </row>
    <row r="96" customFormat="false" ht="15" hidden="false" customHeight="false" outlineLevel="0" collapsed="false">
      <c r="A96" s="12" t="n">
        <v>45428</v>
      </c>
      <c r="B96" s="13" t="n">
        <v>0.684027777777778</v>
      </c>
      <c r="C96" s="5" t="s">
        <v>99</v>
      </c>
      <c r="D96" s="5" t="str">
        <f aca="false">VLOOKUP(C96,Areas!$A$2:$E$32,3,FALSE())</f>
        <v>North</v>
      </c>
      <c r="E96" s="5" t="s">
        <v>137</v>
      </c>
      <c r="F96" s="5" t="s">
        <v>138</v>
      </c>
      <c r="G96" s="5" t="str">
        <f aca="false">IF(F96="Large","Matador","Scooter")</f>
        <v>Scooter</v>
      </c>
      <c r="H96" s="5" t="n">
        <f aca="false">VLOOKUP(C96,Areas!$A$2:$E$32,4,FALSE())</f>
        <v>6.5</v>
      </c>
      <c r="I96" s="5" t="n">
        <f aca="false">2*H96</f>
        <v>13</v>
      </c>
      <c r="J96" s="14" t="n">
        <f aca="false">IF(G96="Matador",I96/Notes!$B$21*Notes!$B$22,I96/Notes!$B$23*Notes!$B$24)</f>
        <v>28.8426666666667</v>
      </c>
      <c r="K96" s="12" t="n">
        <f aca="false">IF(B96&lt;=Notes!$B$26,A96,IF(WEEKDAY(A96)=7,A96+2,A96+1))</f>
        <v>45429</v>
      </c>
      <c r="L96" s="5" t="str">
        <f aca="false">IF(K96=A96,"Yes","No")</f>
        <v>No</v>
      </c>
      <c r="M96" s="5" t="str">
        <f aca="false">IF(E96="Express","No","Yes")</f>
        <v>Yes</v>
      </c>
      <c r="N96" s="5" t="n">
        <f aca="false">IF(M96="No",2*H96,0)</f>
        <v>0</v>
      </c>
      <c r="O96" s="14" t="n">
        <f aca="false">IF(N96=0,0,IF(G96="Matador",N96/Notes!$B$21*Notes!$B$22,N96/Notes!$B$23*Notes!$B$24))</f>
        <v>0</v>
      </c>
    </row>
    <row r="97" customFormat="false" ht="15" hidden="false" customHeight="false" outlineLevel="0" collapsed="false">
      <c r="A97" s="12" t="n">
        <v>45428</v>
      </c>
      <c r="B97" s="13" t="n">
        <v>0.711805555555556</v>
      </c>
      <c r="C97" s="5" t="s">
        <v>102</v>
      </c>
      <c r="D97" s="5" t="str">
        <f aca="false">VLOOKUP(C97,Areas!$A$2:$E$32,3,FALSE())</f>
        <v>North</v>
      </c>
      <c r="E97" s="5" t="s">
        <v>137</v>
      </c>
      <c r="F97" s="5" t="s">
        <v>138</v>
      </c>
      <c r="G97" s="5" t="str">
        <f aca="false">IF(F97="Large","Matador","Scooter")</f>
        <v>Scooter</v>
      </c>
      <c r="H97" s="5" t="n">
        <f aca="false">VLOOKUP(C97,Areas!$A$2:$E$32,4,FALSE())</f>
        <v>11</v>
      </c>
      <c r="I97" s="5" t="n">
        <f aca="false">2*H97</f>
        <v>22</v>
      </c>
      <c r="J97" s="14" t="n">
        <f aca="false">IF(G97="Matador",I97/Notes!$B$21*Notes!$B$22,I97/Notes!$B$23*Notes!$B$24)</f>
        <v>48.8106666666667</v>
      </c>
      <c r="K97" s="12" t="n">
        <f aca="false">IF(B97&lt;=Notes!$B$26,A97,IF(WEEKDAY(A97)=7,A97+2,A97+1))</f>
        <v>45429</v>
      </c>
      <c r="L97" s="5" t="str">
        <f aca="false">IF(K97=A97,"Yes","No")</f>
        <v>No</v>
      </c>
      <c r="M97" s="5" t="str">
        <f aca="false">IF(E97="Express","No","Yes")</f>
        <v>Yes</v>
      </c>
      <c r="N97" s="5" t="n">
        <f aca="false">IF(M97="No",2*H97,0)</f>
        <v>0</v>
      </c>
      <c r="O97" s="14" t="n">
        <f aca="false">IF(N97=0,0,IF(G97="Matador",N97/Notes!$B$21*Notes!$B$22,N97/Notes!$B$23*Notes!$B$24))</f>
        <v>0</v>
      </c>
    </row>
    <row r="98" customFormat="false" ht="15" hidden="false" customHeight="false" outlineLevel="0" collapsed="false">
      <c r="A98" s="12" t="n">
        <v>45429</v>
      </c>
      <c r="B98" s="13" t="n">
        <v>0.399305555555556</v>
      </c>
      <c r="C98" s="5" t="s">
        <v>93</v>
      </c>
      <c r="D98" s="5" t="str">
        <f aca="false">VLOOKUP(C98,Areas!$A$2:$E$32,3,FALSE())</f>
        <v>West</v>
      </c>
      <c r="E98" s="5" t="s">
        <v>139</v>
      </c>
      <c r="F98" s="5" t="s">
        <v>138</v>
      </c>
      <c r="G98" s="5" t="str">
        <f aca="false">IF(F98="Large","Matador","Scooter")</f>
        <v>Scooter</v>
      </c>
      <c r="H98" s="5" t="n">
        <f aca="false">VLOOKUP(C98,Areas!$A$2:$E$32,4,FALSE())</f>
        <v>6.5</v>
      </c>
      <c r="I98" s="5" t="n">
        <f aca="false">2*H98</f>
        <v>13</v>
      </c>
      <c r="J98" s="14" t="n">
        <f aca="false">IF(G98="Matador",I98/Notes!$B$21*Notes!$B$22,I98/Notes!$B$23*Notes!$B$24)</f>
        <v>28.8426666666667</v>
      </c>
      <c r="K98" s="12" t="n">
        <f aca="false">IF(B98&lt;=Notes!$B$26,A98,IF(WEEKDAY(A98)=7,A98+2,A98+1))</f>
        <v>45429</v>
      </c>
      <c r="L98" s="5" t="str">
        <f aca="false">IF(K98=A98,"Yes","No")</f>
        <v>Yes</v>
      </c>
      <c r="M98" s="5" t="str">
        <f aca="false">IF(E98="Express","No","Yes")</f>
        <v>No</v>
      </c>
      <c r="N98" s="5" t="n">
        <f aca="false">IF(M98="No",2*H98,0)</f>
        <v>13</v>
      </c>
      <c r="O98" s="14" t="n">
        <f aca="false">IF(N98=0,0,IF(G98="Matador",N98/Notes!$B$21*Notes!$B$22,N98/Notes!$B$23*Notes!$B$24))</f>
        <v>28.8426666666667</v>
      </c>
    </row>
    <row r="99" customFormat="false" ht="15" hidden="false" customHeight="false" outlineLevel="0" collapsed="false">
      <c r="A99" s="12" t="n">
        <v>45429</v>
      </c>
      <c r="B99" s="13" t="n">
        <v>0.413194444444444</v>
      </c>
      <c r="C99" s="5" t="s">
        <v>76</v>
      </c>
      <c r="D99" s="5" t="str">
        <f aca="false">VLOOKUP(C99,Areas!$A$2:$E$32,3,FALSE())</f>
        <v>South</v>
      </c>
      <c r="E99" s="5" t="s">
        <v>137</v>
      </c>
      <c r="F99" s="5" t="s">
        <v>140</v>
      </c>
      <c r="G99" s="5" t="str">
        <f aca="false">IF(F99="Large","Matador","Scooter")</f>
        <v>Matador</v>
      </c>
      <c r="H99" s="5" t="n">
        <f aca="false">VLOOKUP(C99,Areas!$A$2:$E$32,4,FALSE())</f>
        <v>7</v>
      </c>
      <c r="I99" s="5" t="n">
        <f aca="false">2*H99</f>
        <v>14</v>
      </c>
      <c r="J99" s="14" t="n">
        <f aca="false">IF(G99="Matador",I99/Notes!$B$21*Notes!$B$22,I99/Notes!$B$23*Notes!$B$24)</f>
        <v>75.18875</v>
      </c>
      <c r="K99" s="12" t="n">
        <f aca="false">IF(B99&lt;=Notes!$B$26,A99,IF(WEEKDAY(A99)=7,A99+2,A99+1))</f>
        <v>45429</v>
      </c>
      <c r="L99" s="5" t="str">
        <f aca="false">IF(K99=A99,"Yes","No")</f>
        <v>Yes</v>
      </c>
      <c r="M99" s="5" t="str">
        <f aca="false">IF(E99="Express","No","Yes")</f>
        <v>Yes</v>
      </c>
      <c r="N99" s="5" t="n">
        <f aca="false">IF(M99="No",2*H99,0)</f>
        <v>0</v>
      </c>
      <c r="O99" s="14" t="n">
        <f aca="false">IF(N99=0,0,IF(G99="Matador",N99/Notes!$B$21*Notes!$B$22,N99/Notes!$B$23*Notes!$B$24))</f>
        <v>0</v>
      </c>
    </row>
    <row r="100" customFormat="false" ht="15" hidden="false" customHeight="false" outlineLevel="0" collapsed="false">
      <c r="A100" s="12" t="n">
        <v>45429</v>
      </c>
      <c r="B100" s="13" t="n">
        <v>0.541666666666667</v>
      </c>
      <c r="C100" s="5" t="s">
        <v>58</v>
      </c>
      <c r="D100" s="5" t="str">
        <f aca="false">VLOOKUP(C100,Areas!$A$2:$E$32,3,FALSE())</f>
        <v>Central</v>
      </c>
      <c r="E100" s="5" t="s">
        <v>137</v>
      </c>
      <c r="F100" s="5" t="s">
        <v>138</v>
      </c>
      <c r="G100" s="5" t="str">
        <f aca="false">IF(F100="Large","Matador","Scooter")</f>
        <v>Scooter</v>
      </c>
      <c r="H100" s="5" t="n">
        <f aca="false">VLOOKUP(C100,Areas!$A$2:$E$32,4,FALSE())</f>
        <v>2</v>
      </c>
      <c r="I100" s="5" t="n">
        <f aca="false">2*H100</f>
        <v>4</v>
      </c>
      <c r="J100" s="14" t="n">
        <f aca="false">IF(G100="Matador",I100/Notes!$B$21*Notes!$B$22,I100/Notes!$B$23*Notes!$B$24)</f>
        <v>8.87466666666667</v>
      </c>
      <c r="K100" s="12" t="n">
        <f aca="false">IF(B100&lt;=Notes!$B$26,A100,IF(WEEKDAY(A100)=7,A100+2,A100+1))</f>
        <v>45429</v>
      </c>
      <c r="L100" s="5" t="str">
        <f aca="false">IF(K100=A100,"Yes","No")</f>
        <v>Yes</v>
      </c>
      <c r="M100" s="5" t="str">
        <f aca="false">IF(E100="Express","No","Yes")</f>
        <v>Yes</v>
      </c>
      <c r="N100" s="5" t="n">
        <f aca="false">IF(M100="No",2*H100,0)</f>
        <v>0</v>
      </c>
      <c r="O100" s="14" t="n">
        <f aca="false">IF(N100=0,0,IF(G100="Matador",N100/Notes!$B$21*Notes!$B$22,N100/Notes!$B$23*Notes!$B$24))</f>
        <v>0</v>
      </c>
    </row>
    <row r="101" customFormat="false" ht="15" hidden="false" customHeight="false" outlineLevel="0" collapsed="false">
      <c r="A101" s="12" t="n">
        <v>45429</v>
      </c>
      <c r="B101" s="13" t="n">
        <v>0.555555555555556</v>
      </c>
      <c r="C101" s="5" t="s">
        <v>91</v>
      </c>
      <c r="D101" s="5" t="str">
        <f aca="false">VLOOKUP(C101,Areas!$A$2:$E$32,3,FALSE())</f>
        <v>West</v>
      </c>
      <c r="E101" s="5" t="s">
        <v>137</v>
      </c>
      <c r="F101" s="5" t="s">
        <v>140</v>
      </c>
      <c r="G101" s="5" t="str">
        <f aca="false">IF(F101="Large","Matador","Scooter")</f>
        <v>Matador</v>
      </c>
      <c r="H101" s="5" t="n">
        <f aca="false">VLOOKUP(C101,Areas!$A$2:$E$32,4,FALSE())</f>
        <v>4.5</v>
      </c>
      <c r="I101" s="5" t="n">
        <f aca="false">2*H101</f>
        <v>9</v>
      </c>
      <c r="J101" s="14" t="n">
        <f aca="false">IF(G101="Matador",I101/Notes!$B$21*Notes!$B$22,I101/Notes!$B$23*Notes!$B$24)</f>
        <v>48.335625</v>
      </c>
      <c r="K101" s="12" t="n">
        <f aca="false">IF(B101&lt;=Notes!$B$26,A101,IF(WEEKDAY(A101)=7,A101+2,A101+1))</f>
        <v>45430</v>
      </c>
      <c r="L101" s="5" t="str">
        <f aca="false">IF(K101=A101,"Yes","No")</f>
        <v>No</v>
      </c>
      <c r="M101" s="5" t="str">
        <f aca="false">IF(E101="Express","No","Yes")</f>
        <v>Yes</v>
      </c>
      <c r="N101" s="5" t="n">
        <f aca="false">IF(M101="No",2*H101,0)</f>
        <v>0</v>
      </c>
      <c r="O101" s="14" t="n">
        <f aca="false">IF(N101=0,0,IF(G101="Matador",N101/Notes!$B$21*Notes!$B$22,N101/Notes!$B$23*Notes!$B$24))</f>
        <v>0</v>
      </c>
    </row>
    <row r="102" customFormat="false" ht="15" hidden="false" customHeight="false" outlineLevel="0" collapsed="false">
      <c r="A102" s="12" t="n">
        <v>45429</v>
      </c>
      <c r="B102" s="13" t="n">
        <v>0.559027777777778</v>
      </c>
      <c r="C102" s="5" t="s">
        <v>58</v>
      </c>
      <c r="D102" s="5" t="str">
        <f aca="false">VLOOKUP(C102,Areas!$A$2:$E$32,3,FALSE())</f>
        <v>Central</v>
      </c>
      <c r="E102" s="5" t="s">
        <v>137</v>
      </c>
      <c r="F102" s="5" t="s">
        <v>138</v>
      </c>
      <c r="G102" s="5" t="str">
        <f aca="false">IF(F102="Large","Matador","Scooter")</f>
        <v>Scooter</v>
      </c>
      <c r="H102" s="5" t="n">
        <f aca="false">VLOOKUP(C102,Areas!$A$2:$E$32,4,FALSE())</f>
        <v>2</v>
      </c>
      <c r="I102" s="5" t="n">
        <f aca="false">2*H102</f>
        <v>4</v>
      </c>
      <c r="J102" s="14" t="n">
        <f aca="false">IF(G102="Matador",I102/Notes!$B$21*Notes!$B$22,I102/Notes!$B$23*Notes!$B$24)</f>
        <v>8.87466666666667</v>
      </c>
      <c r="K102" s="12" t="n">
        <f aca="false">IF(B102&lt;=Notes!$B$26,A102,IF(WEEKDAY(A102)=7,A102+2,A102+1))</f>
        <v>45430</v>
      </c>
      <c r="L102" s="5" t="str">
        <f aca="false">IF(K102=A102,"Yes","No")</f>
        <v>No</v>
      </c>
      <c r="M102" s="5" t="str">
        <f aca="false">IF(E102="Express","No","Yes")</f>
        <v>Yes</v>
      </c>
      <c r="N102" s="5" t="n">
        <f aca="false">IF(M102="No",2*H102,0)</f>
        <v>0</v>
      </c>
      <c r="O102" s="14" t="n">
        <f aca="false">IF(N102=0,0,IF(G102="Matador",N102/Notes!$B$21*Notes!$B$22,N102/Notes!$B$23*Notes!$B$24))</f>
        <v>0</v>
      </c>
    </row>
    <row r="103" customFormat="false" ht="15" hidden="false" customHeight="false" outlineLevel="0" collapsed="false">
      <c r="A103" s="12" t="n">
        <v>45429</v>
      </c>
      <c r="B103" s="13" t="n">
        <v>0.597222222222222</v>
      </c>
      <c r="C103" s="5" t="s">
        <v>58</v>
      </c>
      <c r="D103" s="5" t="str">
        <f aca="false">VLOOKUP(C103,Areas!$A$2:$E$32,3,FALSE())</f>
        <v>Central</v>
      </c>
      <c r="E103" s="5" t="s">
        <v>137</v>
      </c>
      <c r="F103" s="5" t="s">
        <v>138</v>
      </c>
      <c r="G103" s="5" t="str">
        <f aca="false">IF(F103="Large","Matador","Scooter")</f>
        <v>Scooter</v>
      </c>
      <c r="H103" s="5" t="n">
        <f aca="false">VLOOKUP(C103,Areas!$A$2:$E$32,4,FALSE())</f>
        <v>2</v>
      </c>
      <c r="I103" s="5" t="n">
        <f aca="false">2*H103</f>
        <v>4</v>
      </c>
      <c r="J103" s="14" t="n">
        <f aca="false">IF(G103="Matador",I103/Notes!$B$21*Notes!$B$22,I103/Notes!$B$23*Notes!$B$24)</f>
        <v>8.87466666666667</v>
      </c>
      <c r="K103" s="12" t="n">
        <f aca="false">IF(B103&lt;=Notes!$B$26,A103,IF(WEEKDAY(A103)=7,A103+2,A103+1))</f>
        <v>45430</v>
      </c>
      <c r="L103" s="5" t="str">
        <f aca="false">IF(K103=A103,"Yes","No")</f>
        <v>No</v>
      </c>
      <c r="M103" s="5" t="str">
        <f aca="false">IF(E103="Express","No","Yes")</f>
        <v>Yes</v>
      </c>
      <c r="N103" s="5" t="n">
        <f aca="false">IF(M103="No",2*H103,0)</f>
        <v>0</v>
      </c>
      <c r="O103" s="14" t="n">
        <f aca="false">IF(N103=0,0,IF(G103="Matador",N103/Notes!$B$21*Notes!$B$22,N103/Notes!$B$23*Notes!$B$24))</f>
        <v>0</v>
      </c>
    </row>
    <row r="104" customFormat="false" ht="15" hidden="false" customHeight="false" outlineLevel="0" collapsed="false">
      <c r="A104" s="12" t="n">
        <v>45429</v>
      </c>
      <c r="B104" s="13" t="n">
        <v>0.618055555555556</v>
      </c>
      <c r="C104" s="5" t="s">
        <v>112</v>
      </c>
      <c r="D104" s="5" t="str">
        <f aca="false">VLOOKUP(C104,Areas!$A$2:$E$32,3,FALSE())</f>
        <v>East</v>
      </c>
      <c r="E104" s="5" t="s">
        <v>137</v>
      </c>
      <c r="F104" s="5" t="s">
        <v>138</v>
      </c>
      <c r="G104" s="5" t="str">
        <f aca="false">IF(F104="Large","Matador","Scooter")</f>
        <v>Scooter</v>
      </c>
      <c r="H104" s="5" t="n">
        <f aca="false">VLOOKUP(C104,Areas!$A$2:$E$32,4,FALSE())</f>
        <v>10</v>
      </c>
      <c r="I104" s="5" t="n">
        <f aca="false">2*H104</f>
        <v>20</v>
      </c>
      <c r="J104" s="14" t="n">
        <f aca="false">IF(G104="Matador",I104/Notes!$B$21*Notes!$B$22,I104/Notes!$B$23*Notes!$B$24)</f>
        <v>44.3733333333333</v>
      </c>
      <c r="K104" s="12" t="n">
        <f aca="false">IF(B104&lt;=Notes!$B$26,A104,IF(WEEKDAY(A104)=7,A104+2,A104+1))</f>
        <v>45430</v>
      </c>
      <c r="L104" s="5" t="str">
        <f aca="false">IF(K104=A104,"Yes","No")</f>
        <v>No</v>
      </c>
      <c r="M104" s="5" t="str">
        <f aca="false">IF(E104="Express","No","Yes")</f>
        <v>Yes</v>
      </c>
      <c r="N104" s="5" t="n">
        <f aca="false">IF(M104="No",2*H104,0)</f>
        <v>0</v>
      </c>
      <c r="O104" s="14" t="n">
        <f aca="false">IF(N104=0,0,IF(G104="Matador",N104/Notes!$B$21*Notes!$B$22,N104/Notes!$B$23*Notes!$B$24))</f>
        <v>0</v>
      </c>
    </row>
    <row r="105" customFormat="false" ht="15" hidden="false" customHeight="false" outlineLevel="0" collapsed="false">
      <c r="A105" s="12" t="n">
        <v>45429</v>
      </c>
      <c r="B105" s="13" t="n">
        <v>0.625</v>
      </c>
      <c r="C105" s="5" t="s">
        <v>93</v>
      </c>
      <c r="D105" s="5" t="str">
        <f aca="false">VLOOKUP(C105,Areas!$A$2:$E$32,3,FALSE())</f>
        <v>West</v>
      </c>
      <c r="E105" s="5" t="s">
        <v>139</v>
      </c>
      <c r="F105" s="5" t="s">
        <v>140</v>
      </c>
      <c r="G105" s="5" t="str">
        <f aca="false">IF(F105="Large","Matador","Scooter")</f>
        <v>Matador</v>
      </c>
      <c r="H105" s="5" t="n">
        <f aca="false">VLOOKUP(C105,Areas!$A$2:$E$32,4,FALSE())</f>
        <v>6.5</v>
      </c>
      <c r="I105" s="5" t="n">
        <f aca="false">2*H105</f>
        <v>13</v>
      </c>
      <c r="J105" s="14" t="n">
        <f aca="false">IF(G105="Matador",I105/Notes!$B$21*Notes!$B$22,I105/Notes!$B$23*Notes!$B$24)</f>
        <v>69.818125</v>
      </c>
      <c r="K105" s="12" t="n">
        <f aca="false">IF(B105&lt;=Notes!$B$26,A105,IF(WEEKDAY(A105)=7,A105+2,A105+1))</f>
        <v>45430</v>
      </c>
      <c r="L105" s="5" t="str">
        <f aca="false">IF(K105=A105,"Yes","No")</f>
        <v>No</v>
      </c>
      <c r="M105" s="5" t="str">
        <f aca="false">IF(E105="Express","No","Yes")</f>
        <v>No</v>
      </c>
      <c r="N105" s="5" t="n">
        <f aca="false">IF(M105="No",2*H105,0)</f>
        <v>13</v>
      </c>
      <c r="O105" s="14" t="n">
        <f aca="false">IF(N105=0,0,IF(G105="Matador",N105/Notes!$B$21*Notes!$B$22,N105/Notes!$B$23*Notes!$B$24))</f>
        <v>69.818125</v>
      </c>
    </row>
    <row r="106" customFormat="false" ht="15" hidden="false" customHeight="false" outlineLevel="0" collapsed="false">
      <c r="A106" s="12" t="n">
        <v>45429</v>
      </c>
      <c r="B106" s="13" t="n">
        <v>0.625</v>
      </c>
      <c r="C106" s="5" t="s">
        <v>102</v>
      </c>
      <c r="D106" s="5" t="str">
        <f aca="false">VLOOKUP(C106,Areas!$A$2:$E$32,3,FALSE())</f>
        <v>North</v>
      </c>
      <c r="E106" s="5" t="s">
        <v>139</v>
      </c>
      <c r="F106" s="5" t="s">
        <v>138</v>
      </c>
      <c r="G106" s="5" t="str">
        <f aca="false">IF(F106="Large","Matador","Scooter")</f>
        <v>Scooter</v>
      </c>
      <c r="H106" s="5" t="n">
        <f aca="false">VLOOKUP(C106,Areas!$A$2:$E$32,4,FALSE())</f>
        <v>11</v>
      </c>
      <c r="I106" s="5" t="n">
        <f aca="false">2*H106</f>
        <v>22</v>
      </c>
      <c r="J106" s="14" t="n">
        <f aca="false">IF(G106="Matador",I106/Notes!$B$21*Notes!$B$22,I106/Notes!$B$23*Notes!$B$24)</f>
        <v>48.8106666666667</v>
      </c>
      <c r="K106" s="12" t="n">
        <f aca="false">IF(B106&lt;=Notes!$B$26,A106,IF(WEEKDAY(A106)=7,A106+2,A106+1))</f>
        <v>45430</v>
      </c>
      <c r="L106" s="5" t="str">
        <f aca="false">IF(K106=A106,"Yes","No")</f>
        <v>No</v>
      </c>
      <c r="M106" s="5" t="str">
        <f aca="false">IF(E106="Express","No","Yes")</f>
        <v>No</v>
      </c>
      <c r="N106" s="5" t="n">
        <f aca="false">IF(M106="No",2*H106,0)</f>
        <v>22</v>
      </c>
      <c r="O106" s="14" t="n">
        <f aca="false">IF(N106=0,0,IF(G106="Matador",N106/Notes!$B$21*Notes!$B$22,N106/Notes!$B$23*Notes!$B$24))</f>
        <v>48.8106666666667</v>
      </c>
    </row>
    <row r="107" customFormat="false" ht="15" hidden="false" customHeight="false" outlineLevel="0" collapsed="false">
      <c r="A107" s="12" t="n">
        <v>45429</v>
      </c>
      <c r="B107" s="13" t="n">
        <v>0.694444444444444</v>
      </c>
      <c r="C107" s="5" t="s">
        <v>62</v>
      </c>
      <c r="D107" s="5" t="str">
        <f aca="false">VLOOKUP(C107,Areas!$A$2:$E$32,3,FALSE())</f>
        <v>Central</v>
      </c>
      <c r="E107" s="5" t="s">
        <v>137</v>
      </c>
      <c r="F107" s="5" t="s">
        <v>140</v>
      </c>
      <c r="G107" s="5" t="str">
        <f aca="false">IF(F107="Large","Matador","Scooter")</f>
        <v>Matador</v>
      </c>
      <c r="H107" s="5" t="n">
        <f aca="false">VLOOKUP(C107,Areas!$A$2:$E$32,4,FALSE())</f>
        <v>3.5</v>
      </c>
      <c r="I107" s="5" t="n">
        <f aca="false">2*H107</f>
        <v>7</v>
      </c>
      <c r="J107" s="14" t="n">
        <f aca="false">IF(G107="Matador",I107/Notes!$B$21*Notes!$B$22,I107/Notes!$B$23*Notes!$B$24)</f>
        <v>37.594375</v>
      </c>
      <c r="K107" s="12" t="n">
        <f aca="false">IF(B107&lt;=Notes!$B$26,A107,IF(WEEKDAY(A107)=7,A107+2,A107+1))</f>
        <v>45430</v>
      </c>
      <c r="L107" s="5" t="str">
        <f aca="false">IF(K107=A107,"Yes","No")</f>
        <v>No</v>
      </c>
      <c r="M107" s="5" t="str">
        <f aca="false">IF(E107="Express","No","Yes")</f>
        <v>Yes</v>
      </c>
      <c r="N107" s="5" t="n">
        <f aca="false">IF(M107="No",2*H107,0)</f>
        <v>0</v>
      </c>
      <c r="O107" s="14" t="n">
        <f aca="false">IF(N107=0,0,IF(G107="Matador",N107/Notes!$B$21*Notes!$B$22,N107/Notes!$B$23*Notes!$B$24))</f>
        <v>0</v>
      </c>
    </row>
    <row r="108" customFormat="false" ht="15" hidden="false" customHeight="false" outlineLevel="0" collapsed="false">
      <c r="A108" s="12" t="n">
        <v>45429</v>
      </c>
      <c r="B108" s="13" t="n">
        <v>0.711805555555556</v>
      </c>
      <c r="C108" s="5" t="s">
        <v>58</v>
      </c>
      <c r="D108" s="5" t="str">
        <f aca="false">VLOOKUP(C108,Areas!$A$2:$E$32,3,FALSE())</f>
        <v>Central</v>
      </c>
      <c r="E108" s="5" t="s">
        <v>137</v>
      </c>
      <c r="F108" s="5" t="s">
        <v>138</v>
      </c>
      <c r="G108" s="5" t="str">
        <f aca="false">IF(F108="Large","Matador","Scooter")</f>
        <v>Scooter</v>
      </c>
      <c r="H108" s="5" t="n">
        <f aca="false">VLOOKUP(C108,Areas!$A$2:$E$32,4,FALSE())</f>
        <v>2</v>
      </c>
      <c r="I108" s="5" t="n">
        <f aca="false">2*H108</f>
        <v>4</v>
      </c>
      <c r="J108" s="14" t="n">
        <f aca="false">IF(G108="Matador",I108/Notes!$B$21*Notes!$B$22,I108/Notes!$B$23*Notes!$B$24)</f>
        <v>8.87466666666667</v>
      </c>
      <c r="K108" s="12" t="n">
        <f aca="false">IF(B108&lt;=Notes!$B$26,A108,IF(WEEKDAY(A108)=7,A108+2,A108+1))</f>
        <v>45430</v>
      </c>
      <c r="L108" s="5" t="str">
        <f aca="false">IF(K108=A108,"Yes","No")</f>
        <v>No</v>
      </c>
      <c r="M108" s="5" t="str">
        <f aca="false">IF(E108="Express","No","Yes")</f>
        <v>Yes</v>
      </c>
      <c r="N108" s="5" t="n">
        <f aca="false">IF(M108="No",2*H108,0)</f>
        <v>0</v>
      </c>
      <c r="O108" s="14" t="n">
        <f aca="false">IF(N108=0,0,IF(G108="Matador",N108/Notes!$B$21*Notes!$B$22,N108/Notes!$B$23*Notes!$B$24))</f>
        <v>0</v>
      </c>
    </row>
    <row r="109" customFormat="false" ht="15" hidden="false" customHeight="false" outlineLevel="0" collapsed="false">
      <c r="A109" s="12" t="n">
        <v>45430</v>
      </c>
      <c r="B109" s="13" t="n">
        <v>0.454861111111111</v>
      </c>
      <c r="C109" s="5" t="s">
        <v>54</v>
      </c>
      <c r="D109" s="5" t="str">
        <f aca="false">VLOOKUP(C109,Areas!$A$2:$E$32,3,FALSE())</f>
        <v>Central</v>
      </c>
      <c r="E109" s="5" t="s">
        <v>137</v>
      </c>
      <c r="F109" s="5" t="s">
        <v>140</v>
      </c>
      <c r="G109" s="5" t="str">
        <f aca="false">IF(F109="Large","Matador","Scooter")</f>
        <v>Matador</v>
      </c>
      <c r="H109" s="5" t="n">
        <f aca="false">VLOOKUP(C109,Areas!$A$2:$E$32,4,FALSE())</f>
        <v>1</v>
      </c>
      <c r="I109" s="5" t="n">
        <f aca="false">2*H109</f>
        <v>2</v>
      </c>
      <c r="J109" s="14" t="n">
        <f aca="false">IF(G109="Matador",I109/Notes!$B$21*Notes!$B$22,I109/Notes!$B$23*Notes!$B$24)</f>
        <v>10.74125</v>
      </c>
      <c r="K109" s="12" t="n">
        <f aca="false">IF(B109&lt;=Notes!$B$26,A109,IF(WEEKDAY(A109)=7,A109+2,A109+1))</f>
        <v>45430</v>
      </c>
      <c r="L109" s="5" t="str">
        <f aca="false">IF(K109=A109,"Yes","No")</f>
        <v>Yes</v>
      </c>
      <c r="M109" s="5" t="str">
        <f aca="false">IF(E109="Express","No","Yes")</f>
        <v>Yes</v>
      </c>
      <c r="N109" s="5" t="n">
        <f aca="false">IF(M109="No",2*H109,0)</f>
        <v>0</v>
      </c>
      <c r="O109" s="14" t="n">
        <f aca="false">IF(N109=0,0,IF(G109="Matador",N109/Notes!$B$21*Notes!$B$22,N109/Notes!$B$23*Notes!$B$24))</f>
        <v>0</v>
      </c>
    </row>
    <row r="110" customFormat="false" ht="15" hidden="false" customHeight="false" outlineLevel="0" collapsed="false">
      <c r="A110" s="12" t="n">
        <v>45430</v>
      </c>
      <c r="B110" s="13" t="n">
        <v>0.46875</v>
      </c>
      <c r="C110" s="5" t="s">
        <v>121</v>
      </c>
      <c r="D110" s="5" t="str">
        <f aca="false">VLOOKUP(C110,Areas!$A$2:$E$32,3,FALSE())</f>
        <v>East</v>
      </c>
      <c r="E110" s="5" t="s">
        <v>139</v>
      </c>
      <c r="F110" s="5" t="s">
        <v>138</v>
      </c>
      <c r="G110" s="5" t="str">
        <f aca="false">IF(F110="Large","Matador","Scooter")</f>
        <v>Scooter</v>
      </c>
      <c r="H110" s="5" t="n">
        <f aca="false">VLOOKUP(C110,Areas!$A$2:$E$32,4,FALSE())</f>
        <v>24</v>
      </c>
      <c r="I110" s="5" t="n">
        <f aca="false">2*H110</f>
        <v>48</v>
      </c>
      <c r="J110" s="14" t="n">
        <f aca="false">IF(G110="Matador",I110/Notes!$B$21*Notes!$B$22,I110/Notes!$B$23*Notes!$B$24)</f>
        <v>106.496</v>
      </c>
      <c r="K110" s="12" t="n">
        <f aca="false">IF(B110&lt;=Notes!$B$26,A110,IF(WEEKDAY(A110)=7,A110+2,A110+1))</f>
        <v>45430</v>
      </c>
      <c r="L110" s="5" t="str">
        <f aca="false">IF(K110=A110,"Yes","No")</f>
        <v>Yes</v>
      </c>
      <c r="M110" s="5" t="str">
        <f aca="false">IF(E110="Express","No","Yes")</f>
        <v>No</v>
      </c>
      <c r="N110" s="5" t="n">
        <f aca="false">IF(M110="No",2*H110,0)</f>
        <v>48</v>
      </c>
      <c r="O110" s="14" t="n">
        <f aca="false">IF(N110=0,0,IF(G110="Matador",N110/Notes!$B$21*Notes!$B$22,N110/Notes!$B$23*Notes!$B$24))</f>
        <v>106.496</v>
      </c>
    </row>
    <row r="111" customFormat="false" ht="15" hidden="false" customHeight="false" outlineLevel="0" collapsed="false">
      <c r="A111" s="12" t="n">
        <v>45430</v>
      </c>
      <c r="B111" s="13" t="n">
        <v>0.5</v>
      </c>
      <c r="C111" s="5" t="s">
        <v>82</v>
      </c>
      <c r="D111" s="5" t="str">
        <f aca="false">VLOOKUP(C111,Areas!$A$2:$E$32,3,FALSE())</f>
        <v>South</v>
      </c>
      <c r="E111" s="5" t="s">
        <v>137</v>
      </c>
      <c r="F111" s="5" t="s">
        <v>138</v>
      </c>
      <c r="G111" s="5" t="str">
        <f aca="false">IF(F111="Large","Matador","Scooter")</f>
        <v>Scooter</v>
      </c>
      <c r="H111" s="5" t="n">
        <f aca="false">VLOOKUP(C111,Areas!$A$2:$E$32,4,FALSE())</f>
        <v>11.5</v>
      </c>
      <c r="I111" s="5" t="n">
        <f aca="false">2*H111</f>
        <v>23</v>
      </c>
      <c r="J111" s="14" t="n">
        <f aca="false">IF(G111="Matador",I111/Notes!$B$21*Notes!$B$22,I111/Notes!$B$23*Notes!$B$24)</f>
        <v>51.0293333333333</v>
      </c>
      <c r="K111" s="12" t="n">
        <f aca="false">IF(B111&lt;=Notes!$B$26,A111,IF(WEEKDAY(A111)=7,A111+2,A111+1))</f>
        <v>45430</v>
      </c>
      <c r="L111" s="5" t="str">
        <f aca="false">IF(K111=A111,"Yes","No")</f>
        <v>Yes</v>
      </c>
      <c r="M111" s="5" t="str">
        <f aca="false">IF(E111="Express","No","Yes")</f>
        <v>Yes</v>
      </c>
      <c r="N111" s="5" t="n">
        <f aca="false">IF(M111="No",2*H111,0)</f>
        <v>0</v>
      </c>
      <c r="O111" s="14" t="n">
        <f aca="false">IF(N111=0,0,IF(G111="Matador",N111/Notes!$B$21*Notes!$B$22,N111/Notes!$B$23*Notes!$B$24))</f>
        <v>0</v>
      </c>
    </row>
    <row r="112" customFormat="false" ht="15" hidden="false" customHeight="false" outlineLevel="0" collapsed="false">
      <c r="A112" s="12" t="n">
        <v>45430</v>
      </c>
      <c r="B112" s="13" t="n">
        <v>0.517361111111111</v>
      </c>
      <c r="C112" s="5" t="s">
        <v>93</v>
      </c>
      <c r="D112" s="5" t="str">
        <f aca="false">VLOOKUP(C112,Areas!$A$2:$E$32,3,FALSE())</f>
        <v>West</v>
      </c>
      <c r="E112" s="5" t="s">
        <v>137</v>
      </c>
      <c r="F112" s="5" t="s">
        <v>140</v>
      </c>
      <c r="G112" s="5" t="str">
        <f aca="false">IF(F112="Large","Matador","Scooter")</f>
        <v>Matador</v>
      </c>
      <c r="H112" s="5" t="n">
        <f aca="false">VLOOKUP(C112,Areas!$A$2:$E$32,4,FALSE())</f>
        <v>6.5</v>
      </c>
      <c r="I112" s="5" t="n">
        <f aca="false">2*H112</f>
        <v>13</v>
      </c>
      <c r="J112" s="14" t="n">
        <f aca="false">IF(G112="Matador",I112/Notes!$B$21*Notes!$B$22,I112/Notes!$B$23*Notes!$B$24)</f>
        <v>69.818125</v>
      </c>
      <c r="K112" s="12" t="n">
        <f aca="false">IF(B112&lt;=Notes!$B$26,A112,IF(WEEKDAY(A112)=7,A112+2,A112+1))</f>
        <v>45430</v>
      </c>
      <c r="L112" s="5" t="str">
        <f aca="false">IF(K112=A112,"Yes","No")</f>
        <v>Yes</v>
      </c>
      <c r="M112" s="5" t="str">
        <f aca="false">IF(E112="Express","No","Yes")</f>
        <v>Yes</v>
      </c>
      <c r="N112" s="5" t="n">
        <f aca="false">IF(M112="No",2*H112,0)</f>
        <v>0</v>
      </c>
      <c r="O112" s="14" t="n">
        <f aca="false">IF(N112=0,0,IF(G112="Matador",N112/Notes!$B$21*Notes!$B$22,N112/Notes!$B$23*Notes!$B$24))</f>
        <v>0</v>
      </c>
    </row>
    <row r="113" customFormat="false" ht="15" hidden="false" customHeight="false" outlineLevel="0" collapsed="false">
      <c r="A113" s="12" t="n">
        <v>45430</v>
      </c>
      <c r="B113" s="13" t="n">
        <v>0.527777777777778</v>
      </c>
      <c r="C113" s="5" t="s">
        <v>74</v>
      </c>
      <c r="D113" s="5" t="str">
        <f aca="false">VLOOKUP(C113,Areas!$A$2:$E$32,3,FALSE())</f>
        <v>South</v>
      </c>
      <c r="E113" s="5" t="s">
        <v>139</v>
      </c>
      <c r="F113" s="5" t="s">
        <v>140</v>
      </c>
      <c r="G113" s="5" t="str">
        <f aca="false">IF(F113="Large","Matador","Scooter")</f>
        <v>Matador</v>
      </c>
      <c r="H113" s="5" t="n">
        <f aca="false">VLOOKUP(C113,Areas!$A$2:$E$32,4,FALSE())</f>
        <v>2.5</v>
      </c>
      <c r="I113" s="5" t="n">
        <f aca="false">2*H113</f>
        <v>5</v>
      </c>
      <c r="J113" s="14" t="n">
        <f aca="false">IF(G113="Matador",I113/Notes!$B$21*Notes!$B$22,I113/Notes!$B$23*Notes!$B$24)</f>
        <v>26.853125</v>
      </c>
      <c r="K113" s="12" t="n">
        <f aca="false">IF(B113&lt;=Notes!$B$26,A113,IF(WEEKDAY(A113)=7,A113+2,A113+1))</f>
        <v>45430</v>
      </c>
      <c r="L113" s="5" t="str">
        <f aca="false">IF(K113=A113,"Yes","No")</f>
        <v>Yes</v>
      </c>
      <c r="M113" s="5" t="str">
        <f aca="false">IF(E113="Express","No","Yes")</f>
        <v>No</v>
      </c>
      <c r="N113" s="5" t="n">
        <f aca="false">IF(M113="No",2*H113,0)</f>
        <v>5</v>
      </c>
      <c r="O113" s="14" t="n">
        <f aca="false">IF(N113=0,0,IF(G113="Matador",N113/Notes!$B$21*Notes!$B$22,N113/Notes!$B$23*Notes!$B$24))</f>
        <v>26.853125</v>
      </c>
    </row>
    <row r="114" customFormat="false" ht="15" hidden="false" customHeight="false" outlineLevel="0" collapsed="false">
      <c r="A114" s="12" t="n">
        <v>45430</v>
      </c>
      <c r="B114" s="13" t="n">
        <v>0.53125</v>
      </c>
      <c r="C114" s="5" t="s">
        <v>108</v>
      </c>
      <c r="D114" s="5" t="str">
        <f aca="false">VLOOKUP(C114,Areas!$A$2:$E$32,3,FALSE())</f>
        <v>North</v>
      </c>
      <c r="E114" s="5" t="s">
        <v>137</v>
      </c>
      <c r="F114" s="5" t="s">
        <v>138</v>
      </c>
      <c r="G114" s="5" t="str">
        <f aca="false">IF(F114="Large","Matador","Scooter")</f>
        <v>Scooter</v>
      </c>
      <c r="H114" s="5" t="n">
        <f aca="false">VLOOKUP(C114,Areas!$A$2:$E$32,4,FALSE())</f>
        <v>14.5</v>
      </c>
      <c r="I114" s="5" t="n">
        <f aca="false">2*H114</f>
        <v>29</v>
      </c>
      <c r="J114" s="14" t="n">
        <f aca="false">IF(G114="Matador",I114/Notes!$B$21*Notes!$B$22,I114/Notes!$B$23*Notes!$B$24)</f>
        <v>64.3413333333333</v>
      </c>
      <c r="K114" s="12" t="n">
        <f aca="false">IF(B114&lt;=Notes!$B$26,A114,IF(WEEKDAY(A114)=7,A114+2,A114+1))</f>
        <v>45430</v>
      </c>
      <c r="L114" s="5" t="str">
        <f aca="false">IF(K114=A114,"Yes","No")</f>
        <v>Yes</v>
      </c>
      <c r="M114" s="5" t="str">
        <f aca="false">IF(E114="Express","No","Yes")</f>
        <v>Yes</v>
      </c>
      <c r="N114" s="5" t="n">
        <f aca="false">IF(M114="No",2*H114,0)</f>
        <v>0</v>
      </c>
      <c r="O114" s="14" t="n">
        <f aca="false">IF(N114=0,0,IF(G114="Matador",N114/Notes!$B$21*Notes!$B$22,N114/Notes!$B$23*Notes!$B$24))</f>
        <v>0</v>
      </c>
    </row>
    <row r="115" customFormat="false" ht="15" hidden="false" customHeight="false" outlineLevel="0" collapsed="false">
      <c r="A115" s="12" t="n">
        <v>45430</v>
      </c>
      <c r="B115" s="13" t="n">
        <v>0.572916666666667</v>
      </c>
      <c r="C115" s="5" t="s">
        <v>99</v>
      </c>
      <c r="D115" s="5" t="str">
        <f aca="false">VLOOKUP(C115,Areas!$A$2:$E$32,3,FALSE())</f>
        <v>North</v>
      </c>
      <c r="E115" s="5" t="s">
        <v>137</v>
      </c>
      <c r="F115" s="5" t="s">
        <v>138</v>
      </c>
      <c r="G115" s="5" t="str">
        <f aca="false">IF(F115="Large","Matador","Scooter")</f>
        <v>Scooter</v>
      </c>
      <c r="H115" s="5" t="n">
        <f aca="false">VLOOKUP(C115,Areas!$A$2:$E$32,4,FALSE())</f>
        <v>6.5</v>
      </c>
      <c r="I115" s="5" t="n">
        <f aca="false">2*H115</f>
        <v>13</v>
      </c>
      <c r="J115" s="14" t="n">
        <f aca="false">IF(G115="Matador",I115/Notes!$B$21*Notes!$B$22,I115/Notes!$B$23*Notes!$B$24)</f>
        <v>28.8426666666667</v>
      </c>
      <c r="K115" s="12" t="n">
        <f aca="false">IF(B115&lt;=Notes!$B$26,A115,IF(WEEKDAY(A115)=7,A115+2,A115+1))</f>
        <v>45432</v>
      </c>
      <c r="L115" s="5" t="str">
        <f aca="false">IF(K115=A115,"Yes","No")</f>
        <v>No</v>
      </c>
      <c r="M115" s="5" t="str">
        <f aca="false">IF(E115="Express","No","Yes")</f>
        <v>Yes</v>
      </c>
      <c r="N115" s="5" t="n">
        <f aca="false">IF(M115="No",2*H115,0)</f>
        <v>0</v>
      </c>
      <c r="O115" s="14" t="n">
        <f aca="false">IF(N115=0,0,IF(G115="Matador",N115/Notes!$B$21*Notes!$B$22,N115/Notes!$B$23*Notes!$B$24))</f>
        <v>0</v>
      </c>
    </row>
    <row r="116" customFormat="false" ht="15" hidden="false" customHeight="false" outlineLevel="0" collapsed="false">
      <c r="A116" s="12" t="n">
        <v>45430</v>
      </c>
      <c r="B116" s="13" t="n">
        <v>0.666666666666667</v>
      </c>
      <c r="C116" s="5" t="s">
        <v>74</v>
      </c>
      <c r="D116" s="5" t="str">
        <f aca="false">VLOOKUP(C116,Areas!$A$2:$E$32,3,FALSE())</f>
        <v>South</v>
      </c>
      <c r="E116" s="5" t="s">
        <v>139</v>
      </c>
      <c r="F116" s="5" t="s">
        <v>138</v>
      </c>
      <c r="G116" s="5" t="str">
        <f aca="false">IF(F116="Large","Matador","Scooter")</f>
        <v>Scooter</v>
      </c>
      <c r="H116" s="5" t="n">
        <f aca="false">VLOOKUP(C116,Areas!$A$2:$E$32,4,FALSE())</f>
        <v>2.5</v>
      </c>
      <c r="I116" s="5" t="n">
        <f aca="false">2*H116</f>
        <v>5</v>
      </c>
      <c r="J116" s="14" t="n">
        <f aca="false">IF(G116="Matador",I116/Notes!$B$21*Notes!$B$22,I116/Notes!$B$23*Notes!$B$24)</f>
        <v>11.0933333333333</v>
      </c>
      <c r="K116" s="12" t="n">
        <f aca="false">IF(B116&lt;=Notes!$B$26,A116,IF(WEEKDAY(A116)=7,A116+2,A116+1))</f>
        <v>45432</v>
      </c>
      <c r="L116" s="5" t="str">
        <f aca="false">IF(K116=A116,"Yes","No")</f>
        <v>No</v>
      </c>
      <c r="M116" s="5" t="str">
        <f aca="false">IF(E116="Express","No","Yes")</f>
        <v>No</v>
      </c>
      <c r="N116" s="5" t="n">
        <f aca="false">IF(M116="No",2*H116,0)</f>
        <v>5</v>
      </c>
      <c r="O116" s="14" t="n">
        <f aca="false">IF(N116=0,0,IF(G116="Matador",N116/Notes!$B$21*Notes!$B$22,N116/Notes!$B$23*Notes!$B$24))</f>
        <v>11.0933333333333</v>
      </c>
    </row>
    <row r="117" customFormat="false" ht="15" hidden="false" customHeight="false" outlineLevel="0" collapsed="false">
      <c r="A117" s="12" t="n">
        <v>45432</v>
      </c>
      <c r="B117" s="13" t="n">
        <v>0.395833333333333</v>
      </c>
      <c r="C117" s="5" t="s">
        <v>115</v>
      </c>
      <c r="D117" s="5" t="str">
        <f aca="false">VLOOKUP(C117,Areas!$A$2:$E$32,3,FALSE())</f>
        <v>East</v>
      </c>
      <c r="E117" s="5" t="s">
        <v>139</v>
      </c>
      <c r="F117" s="5" t="s">
        <v>138</v>
      </c>
      <c r="G117" s="5" t="str">
        <f aca="false">IF(F117="Large","Matador","Scooter")</f>
        <v>Scooter</v>
      </c>
      <c r="H117" s="5" t="n">
        <f aca="false">VLOOKUP(C117,Areas!$A$2:$E$32,4,FALSE())</f>
        <v>14.5</v>
      </c>
      <c r="I117" s="5" t="n">
        <f aca="false">2*H117</f>
        <v>29</v>
      </c>
      <c r="J117" s="14" t="n">
        <f aca="false">IF(G117="Matador",I117/Notes!$B$21*Notes!$B$22,I117/Notes!$B$23*Notes!$B$24)</f>
        <v>64.3413333333333</v>
      </c>
      <c r="K117" s="12" t="n">
        <f aca="false">IF(B117&lt;=Notes!$B$26,A117,IF(WEEKDAY(A117)=7,A117+2,A117+1))</f>
        <v>45432</v>
      </c>
      <c r="L117" s="5" t="str">
        <f aca="false">IF(K117=A117,"Yes","No")</f>
        <v>Yes</v>
      </c>
      <c r="M117" s="5" t="str">
        <f aca="false">IF(E117="Express","No","Yes")</f>
        <v>No</v>
      </c>
      <c r="N117" s="5" t="n">
        <f aca="false">IF(M117="No",2*H117,0)</f>
        <v>29</v>
      </c>
      <c r="O117" s="14" t="n">
        <f aca="false">IF(N117=0,0,IF(G117="Matador",N117/Notes!$B$21*Notes!$B$22,N117/Notes!$B$23*Notes!$B$24))</f>
        <v>64.3413333333333</v>
      </c>
    </row>
    <row r="118" customFormat="false" ht="15" hidden="false" customHeight="false" outlineLevel="0" collapsed="false">
      <c r="A118" s="12" t="n">
        <v>45432</v>
      </c>
      <c r="B118" s="13" t="n">
        <v>0.461805555555556</v>
      </c>
      <c r="C118" s="5" t="s">
        <v>106</v>
      </c>
      <c r="D118" s="5" t="str">
        <f aca="false">VLOOKUP(C118,Areas!$A$2:$E$32,3,FALSE())</f>
        <v>North</v>
      </c>
      <c r="E118" s="5" t="s">
        <v>137</v>
      </c>
      <c r="F118" s="5" t="s">
        <v>140</v>
      </c>
      <c r="G118" s="5" t="str">
        <f aca="false">IF(F118="Large","Matador","Scooter")</f>
        <v>Matador</v>
      </c>
      <c r="H118" s="5" t="n">
        <f aca="false">VLOOKUP(C118,Areas!$A$2:$E$32,4,FALSE())</f>
        <v>10.5</v>
      </c>
      <c r="I118" s="5" t="n">
        <f aca="false">2*H118</f>
        <v>21</v>
      </c>
      <c r="J118" s="14" t="n">
        <f aca="false">IF(G118="Matador",I118/Notes!$B$21*Notes!$B$22,I118/Notes!$B$23*Notes!$B$24)</f>
        <v>112.783125</v>
      </c>
      <c r="K118" s="12" t="n">
        <f aca="false">IF(B118&lt;=Notes!$B$26,A118,IF(WEEKDAY(A118)=7,A118+2,A118+1))</f>
        <v>45432</v>
      </c>
      <c r="L118" s="5" t="str">
        <f aca="false">IF(K118=A118,"Yes","No")</f>
        <v>Yes</v>
      </c>
      <c r="M118" s="5" t="str">
        <f aca="false">IF(E118="Express","No","Yes")</f>
        <v>Yes</v>
      </c>
      <c r="N118" s="5" t="n">
        <f aca="false">IF(M118="No",2*H118,0)</f>
        <v>0</v>
      </c>
      <c r="O118" s="14" t="n">
        <f aca="false">IF(N118=0,0,IF(G118="Matador",N118/Notes!$B$21*Notes!$B$22,N118/Notes!$B$23*Notes!$B$24))</f>
        <v>0</v>
      </c>
    </row>
    <row r="119" customFormat="false" ht="15" hidden="false" customHeight="false" outlineLevel="0" collapsed="false">
      <c r="A119" s="12" t="n">
        <v>45432</v>
      </c>
      <c r="B119" s="13" t="n">
        <v>0.479166666666667</v>
      </c>
      <c r="C119" s="5" t="s">
        <v>76</v>
      </c>
      <c r="D119" s="5" t="str">
        <f aca="false">VLOOKUP(C119,Areas!$A$2:$E$32,3,FALSE())</f>
        <v>South</v>
      </c>
      <c r="E119" s="5" t="s">
        <v>137</v>
      </c>
      <c r="F119" s="5" t="s">
        <v>140</v>
      </c>
      <c r="G119" s="5" t="str">
        <f aca="false">IF(F119="Large","Matador","Scooter")</f>
        <v>Matador</v>
      </c>
      <c r="H119" s="5" t="n">
        <f aca="false">VLOOKUP(C119,Areas!$A$2:$E$32,4,FALSE())</f>
        <v>7</v>
      </c>
      <c r="I119" s="5" t="n">
        <f aca="false">2*H119</f>
        <v>14</v>
      </c>
      <c r="J119" s="14" t="n">
        <f aca="false">IF(G119="Matador",I119/Notes!$B$21*Notes!$B$22,I119/Notes!$B$23*Notes!$B$24)</f>
        <v>75.18875</v>
      </c>
      <c r="K119" s="12" t="n">
        <f aca="false">IF(B119&lt;=Notes!$B$26,A119,IF(WEEKDAY(A119)=7,A119+2,A119+1))</f>
        <v>45432</v>
      </c>
      <c r="L119" s="5" t="str">
        <f aca="false">IF(K119=A119,"Yes","No")</f>
        <v>Yes</v>
      </c>
      <c r="M119" s="5" t="str">
        <f aca="false">IF(E119="Express","No","Yes")</f>
        <v>Yes</v>
      </c>
      <c r="N119" s="5" t="n">
        <f aca="false">IF(M119="No",2*H119,0)</f>
        <v>0</v>
      </c>
      <c r="O119" s="14" t="n">
        <f aca="false">IF(N119=0,0,IF(G119="Matador",N119/Notes!$B$21*Notes!$B$22,N119/Notes!$B$23*Notes!$B$24))</f>
        <v>0</v>
      </c>
    </row>
    <row r="120" customFormat="false" ht="15" hidden="false" customHeight="false" outlineLevel="0" collapsed="false">
      <c r="A120" s="12" t="n">
        <v>45432</v>
      </c>
      <c r="B120" s="13" t="n">
        <v>0.59375</v>
      </c>
      <c r="C120" s="5" t="s">
        <v>64</v>
      </c>
      <c r="D120" s="5" t="str">
        <f aca="false">VLOOKUP(C120,Areas!$A$2:$E$32,3,FALSE())</f>
        <v>Central</v>
      </c>
      <c r="E120" s="5" t="s">
        <v>137</v>
      </c>
      <c r="F120" s="5" t="s">
        <v>138</v>
      </c>
      <c r="G120" s="5" t="str">
        <f aca="false">IF(F120="Large","Matador","Scooter")</f>
        <v>Scooter</v>
      </c>
      <c r="H120" s="5" t="n">
        <f aca="false">VLOOKUP(C120,Areas!$A$2:$E$32,4,FALSE())</f>
        <v>3</v>
      </c>
      <c r="I120" s="5" t="n">
        <f aca="false">2*H120</f>
        <v>6</v>
      </c>
      <c r="J120" s="14" t="n">
        <f aca="false">IF(G120="Matador",I120/Notes!$B$21*Notes!$B$22,I120/Notes!$B$23*Notes!$B$24)</f>
        <v>13.312</v>
      </c>
      <c r="K120" s="12" t="n">
        <f aca="false">IF(B120&lt;=Notes!$B$26,A120,IF(WEEKDAY(A120)=7,A120+2,A120+1))</f>
        <v>45433</v>
      </c>
      <c r="L120" s="5" t="str">
        <f aca="false">IF(K120=A120,"Yes","No")</f>
        <v>No</v>
      </c>
      <c r="M120" s="5" t="str">
        <f aca="false">IF(E120="Express","No","Yes")</f>
        <v>Yes</v>
      </c>
      <c r="N120" s="5" t="n">
        <f aca="false">IF(M120="No",2*H120,0)</f>
        <v>0</v>
      </c>
      <c r="O120" s="14" t="n">
        <f aca="false">IF(N120=0,0,IF(G120="Matador",N120/Notes!$B$21*Notes!$B$22,N120/Notes!$B$23*Notes!$B$24))</f>
        <v>0</v>
      </c>
    </row>
    <row r="121" customFormat="false" ht="15" hidden="false" customHeight="false" outlineLevel="0" collapsed="false">
      <c r="A121" s="12" t="n">
        <v>45432</v>
      </c>
      <c r="B121" s="13" t="n">
        <v>0.635416666666667</v>
      </c>
      <c r="C121" s="5" t="s">
        <v>121</v>
      </c>
      <c r="D121" s="5" t="str">
        <f aca="false">VLOOKUP(C121,Areas!$A$2:$E$32,3,FALSE())</f>
        <v>East</v>
      </c>
      <c r="E121" s="5" t="s">
        <v>139</v>
      </c>
      <c r="F121" s="5" t="s">
        <v>138</v>
      </c>
      <c r="G121" s="5" t="str">
        <f aca="false">IF(F121="Large","Matador","Scooter")</f>
        <v>Scooter</v>
      </c>
      <c r="H121" s="5" t="n">
        <f aca="false">VLOOKUP(C121,Areas!$A$2:$E$32,4,FALSE())</f>
        <v>24</v>
      </c>
      <c r="I121" s="5" t="n">
        <f aca="false">2*H121</f>
        <v>48</v>
      </c>
      <c r="J121" s="14" t="n">
        <f aca="false">IF(G121="Matador",I121/Notes!$B$21*Notes!$B$22,I121/Notes!$B$23*Notes!$B$24)</f>
        <v>106.496</v>
      </c>
      <c r="K121" s="12" t="n">
        <f aca="false">IF(B121&lt;=Notes!$B$26,A121,IF(WEEKDAY(A121)=7,A121+2,A121+1))</f>
        <v>45433</v>
      </c>
      <c r="L121" s="5" t="str">
        <f aca="false">IF(K121=A121,"Yes","No")</f>
        <v>No</v>
      </c>
      <c r="M121" s="5" t="str">
        <f aca="false">IF(E121="Express","No","Yes")</f>
        <v>No</v>
      </c>
      <c r="N121" s="5" t="n">
        <f aca="false">IF(M121="No",2*H121,0)</f>
        <v>48</v>
      </c>
      <c r="O121" s="14" t="n">
        <f aca="false">IF(N121=0,0,IF(G121="Matador",N121/Notes!$B$21*Notes!$B$22,N121/Notes!$B$23*Notes!$B$24))</f>
        <v>106.496</v>
      </c>
    </row>
    <row r="122" customFormat="false" ht="15" hidden="false" customHeight="false" outlineLevel="0" collapsed="false">
      <c r="A122" s="12" t="n">
        <v>45432</v>
      </c>
      <c r="B122" s="13" t="n">
        <v>0.635416666666667</v>
      </c>
      <c r="C122" s="5" t="s">
        <v>60</v>
      </c>
      <c r="D122" s="5" t="str">
        <f aca="false">VLOOKUP(C122,Areas!$A$2:$E$32,3,FALSE())</f>
        <v>Central</v>
      </c>
      <c r="E122" s="5" t="s">
        <v>139</v>
      </c>
      <c r="F122" s="5" t="s">
        <v>138</v>
      </c>
      <c r="G122" s="5" t="str">
        <f aca="false">IF(F122="Large","Matador","Scooter")</f>
        <v>Scooter</v>
      </c>
      <c r="H122" s="5" t="n">
        <f aca="false">VLOOKUP(C122,Areas!$A$2:$E$32,4,FALSE())</f>
        <v>2</v>
      </c>
      <c r="I122" s="5" t="n">
        <f aca="false">2*H122</f>
        <v>4</v>
      </c>
      <c r="J122" s="14" t="n">
        <f aca="false">IF(G122="Matador",I122/Notes!$B$21*Notes!$B$22,I122/Notes!$B$23*Notes!$B$24)</f>
        <v>8.87466666666667</v>
      </c>
      <c r="K122" s="12" t="n">
        <f aca="false">IF(B122&lt;=Notes!$B$26,A122,IF(WEEKDAY(A122)=7,A122+2,A122+1))</f>
        <v>45433</v>
      </c>
      <c r="L122" s="5" t="str">
        <f aca="false">IF(K122=A122,"Yes","No")</f>
        <v>No</v>
      </c>
      <c r="M122" s="5" t="str">
        <f aca="false">IF(E122="Express","No","Yes")</f>
        <v>No</v>
      </c>
      <c r="N122" s="5" t="n">
        <f aca="false">IF(M122="No",2*H122,0)</f>
        <v>4</v>
      </c>
      <c r="O122" s="14" t="n">
        <f aca="false">IF(N122=0,0,IF(G122="Matador",N122/Notes!$B$21*Notes!$B$22,N122/Notes!$B$23*Notes!$B$24))</f>
        <v>8.87466666666667</v>
      </c>
    </row>
    <row r="123" customFormat="false" ht="15" hidden="false" customHeight="false" outlineLevel="0" collapsed="false">
      <c r="A123" s="12" t="n">
        <v>45432</v>
      </c>
      <c r="B123" s="13" t="n">
        <v>0.666666666666667</v>
      </c>
      <c r="C123" s="5" t="s">
        <v>99</v>
      </c>
      <c r="D123" s="5" t="str">
        <f aca="false">VLOOKUP(C123,Areas!$A$2:$E$32,3,FALSE())</f>
        <v>North</v>
      </c>
      <c r="E123" s="5" t="s">
        <v>139</v>
      </c>
      <c r="F123" s="5" t="s">
        <v>138</v>
      </c>
      <c r="G123" s="5" t="str">
        <f aca="false">IF(F123="Large","Matador","Scooter")</f>
        <v>Scooter</v>
      </c>
      <c r="H123" s="5" t="n">
        <f aca="false">VLOOKUP(C123,Areas!$A$2:$E$32,4,FALSE())</f>
        <v>6.5</v>
      </c>
      <c r="I123" s="5" t="n">
        <f aca="false">2*H123</f>
        <v>13</v>
      </c>
      <c r="J123" s="14" t="n">
        <f aca="false">IF(G123="Matador",I123/Notes!$B$21*Notes!$B$22,I123/Notes!$B$23*Notes!$B$24)</f>
        <v>28.8426666666667</v>
      </c>
      <c r="K123" s="12" t="n">
        <f aca="false">IF(B123&lt;=Notes!$B$26,A123,IF(WEEKDAY(A123)=7,A123+2,A123+1))</f>
        <v>45433</v>
      </c>
      <c r="L123" s="5" t="str">
        <f aca="false">IF(K123=A123,"Yes","No")</f>
        <v>No</v>
      </c>
      <c r="M123" s="5" t="str">
        <f aca="false">IF(E123="Express","No","Yes")</f>
        <v>No</v>
      </c>
      <c r="N123" s="5" t="n">
        <f aca="false">IF(M123="No",2*H123,0)</f>
        <v>13</v>
      </c>
      <c r="O123" s="14" t="n">
        <f aca="false">IF(N123=0,0,IF(G123="Matador",N123/Notes!$B$21*Notes!$B$22,N123/Notes!$B$23*Notes!$B$24))</f>
        <v>28.8426666666667</v>
      </c>
    </row>
    <row r="124" customFormat="false" ht="15" hidden="false" customHeight="false" outlineLevel="0" collapsed="false">
      <c r="A124" s="12" t="n">
        <v>45432</v>
      </c>
      <c r="B124" s="13" t="n">
        <v>0.690972222222222</v>
      </c>
      <c r="C124" s="5" t="s">
        <v>64</v>
      </c>
      <c r="D124" s="5" t="str">
        <f aca="false">VLOOKUP(C124,Areas!$A$2:$E$32,3,FALSE())</f>
        <v>Central</v>
      </c>
      <c r="E124" s="5" t="s">
        <v>137</v>
      </c>
      <c r="F124" s="5" t="s">
        <v>140</v>
      </c>
      <c r="G124" s="5" t="str">
        <f aca="false">IF(F124="Large","Matador","Scooter")</f>
        <v>Matador</v>
      </c>
      <c r="H124" s="5" t="n">
        <f aca="false">VLOOKUP(C124,Areas!$A$2:$E$32,4,FALSE())</f>
        <v>3</v>
      </c>
      <c r="I124" s="5" t="n">
        <f aca="false">2*H124</f>
        <v>6</v>
      </c>
      <c r="J124" s="14" t="n">
        <f aca="false">IF(G124="Matador",I124/Notes!$B$21*Notes!$B$22,I124/Notes!$B$23*Notes!$B$24)</f>
        <v>32.22375</v>
      </c>
      <c r="K124" s="12" t="n">
        <f aca="false">IF(B124&lt;=Notes!$B$26,A124,IF(WEEKDAY(A124)=7,A124+2,A124+1))</f>
        <v>45433</v>
      </c>
      <c r="L124" s="5" t="str">
        <f aca="false">IF(K124=A124,"Yes","No")</f>
        <v>No</v>
      </c>
      <c r="M124" s="5" t="str">
        <f aca="false">IF(E124="Express","No","Yes")</f>
        <v>Yes</v>
      </c>
      <c r="N124" s="5" t="n">
        <f aca="false">IF(M124="No",2*H124,0)</f>
        <v>0</v>
      </c>
      <c r="O124" s="14" t="n">
        <f aca="false">IF(N124=0,0,IF(G124="Matador",N124/Notes!$B$21*Notes!$B$22,N124/Notes!$B$23*Notes!$B$24))</f>
        <v>0</v>
      </c>
    </row>
    <row r="125" customFormat="false" ht="15" hidden="false" customHeight="false" outlineLevel="0" collapsed="false">
      <c r="A125" s="12" t="n">
        <v>45433</v>
      </c>
      <c r="B125" s="13" t="n">
        <v>0.409722222222222</v>
      </c>
      <c r="C125" s="5" t="s">
        <v>71</v>
      </c>
      <c r="D125" s="5" t="str">
        <f aca="false">VLOOKUP(C125,Areas!$A$2:$E$32,3,FALSE())</f>
        <v>South</v>
      </c>
      <c r="E125" s="5" t="s">
        <v>137</v>
      </c>
      <c r="F125" s="5" t="s">
        <v>138</v>
      </c>
      <c r="G125" s="5" t="str">
        <f aca="false">IF(F125="Large","Matador","Scooter")</f>
        <v>Scooter</v>
      </c>
      <c r="H125" s="5" t="n">
        <f aca="false">VLOOKUP(C125,Areas!$A$2:$E$32,4,FALSE())</f>
        <v>4.5</v>
      </c>
      <c r="I125" s="5" t="n">
        <f aca="false">2*H125</f>
        <v>9</v>
      </c>
      <c r="J125" s="14" t="n">
        <f aca="false">IF(G125="Matador",I125/Notes!$B$21*Notes!$B$22,I125/Notes!$B$23*Notes!$B$24)</f>
        <v>19.968</v>
      </c>
      <c r="K125" s="12" t="n">
        <f aca="false">IF(B125&lt;=Notes!$B$26,A125,IF(WEEKDAY(A125)=7,A125+2,A125+1))</f>
        <v>45433</v>
      </c>
      <c r="L125" s="5" t="str">
        <f aca="false">IF(K125=A125,"Yes","No")</f>
        <v>Yes</v>
      </c>
      <c r="M125" s="5" t="str">
        <f aca="false">IF(E125="Express","No","Yes")</f>
        <v>Yes</v>
      </c>
      <c r="N125" s="5" t="n">
        <f aca="false">IF(M125="No",2*H125,0)</f>
        <v>0</v>
      </c>
      <c r="O125" s="14" t="n">
        <f aca="false">IF(N125=0,0,IF(G125="Matador",N125/Notes!$B$21*Notes!$B$22,N125/Notes!$B$23*Notes!$B$24))</f>
        <v>0</v>
      </c>
    </row>
    <row r="126" customFormat="false" ht="15" hidden="false" customHeight="false" outlineLevel="0" collapsed="false">
      <c r="A126" s="12" t="n">
        <v>45433</v>
      </c>
      <c r="B126" s="13" t="n">
        <v>0.440972222222222</v>
      </c>
      <c r="C126" s="5" t="s">
        <v>71</v>
      </c>
      <c r="D126" s="5" t="str">
        <f aca="false">VLOOKUP(C126,Areas!$A$2:$E$32,3,FALSE())</f>
        <v>South</v>
      </c>
      <c r="E126" s="5" t="s">
        <v>137</v>
      </c>
      <c r="F126" s="5" t="s">
        <v>138</v>
      </c>
      <c r="G126" s="5" t="str">
        <f aca="false">IF(F126="Large","Matador","Scooter")</f>
        <v>Scooter</v>
      </c>
      <c r="H126" s="5" t="n">
        <f aca="false">VLOOKUP(C126,Areas!$A$2:$E$32,4,FALSE())</f>
        <v>4.5</v>
      </c>
      <c r="I126" s="5" t="n">
        <f aca="false">2*H126</f>
        <v>9</v>
      </c>
      <c r="J126" s="14" t="n">
        <f aca="false">IF(G126="Matador",I126/Notes!$B$21*Notes!$B$22,I126/Notes!$B$23*Notes!$B$24)</f>
        <v>19.968</v>
      </c>
      <c r="K126" s="12" t="n">
        <f aca="false">IF(B126&lt;=Notes!$B$26,A126,IF(WEEKDAY(A126)=7,A126+2,A126+1))</f>
        <v>45433</v>
      </c>
      <c r="L126" s="5" t="str">
        <f aca="false">IF(K126=A126,"Yes","No")</f>
        <v>Yes</v>
      </c>
      <c r="M126" s="5" t="str">
        <f aca="false">IF(E126="Express","No","Yes")</f>
        <v>Yes</v>
      </c>
      <c r="N126" s="5" t="n">
        <f aca="false">IF(M126="No",2*H126,0)</f>
        <v>0</v>
      </c>
      <c r="O126" s="14" t="n">
        <f aca="false">IF(N126=0,0,IF(G126="Matador",N126/Notes!$B$21*Notes!$B$22,N126/Notes!$B$23*Notes!$B$24))</f>
        <v>0</v>
      </c>
    </row>
    <row r="127" customFormat="false" ht="15" hidden="false" customHeight="false" outlineLevel="0" collapsed="false">
      <c r="A127" s="12" t="n">
        <v>45433</v>
      </c>
      <c r="B127" s="13" t="n">
        <v>0.493055555555556</v>
      </c>
      <c r="C127" s="5" t="s">
        <v>76</v>
      </c>
      <c r="D127" s="5" t="str">
        <f aca="false">VLOOKUP(C127,Areas!$A$2:$E$32,3,FALSE())</f>
        <v>South</v>
      </c>
      <c r="E127" s="5" t="s">
        <v>137</v>
      </c>
      <c r="F127" s="5" t="s">
        <v>140</v>
      </c>
      <c r="G127" s="5" t="str">
        <f aca="false">IF(F127="Large","Matador","Scooter")</f>
        <v>Matador</v>
      </c>
      <c r="H127" s="5" t="n">
        <f aca="false">VLOOKUP(C127,Areas!$A$2:$E$32,4,FALSE())</f>
        <v>7</v>
      </c>
      <c r="I127" s="5" t="n">
        <f aca="false">2*H127</f>
        <v>14</v>
      </c>
      <c r="J127" s="14" t="n">
        <f aca="false">IF(G127="Matador",I127/Notes!$B$21*Notes!$B$22,I127/Notes!$B$23*Notes!$B$24)</f>
        <v>75.18875</v>
      </c>
      <c r="K127" s="12" t="n">
        <f aca="false">IF(B127&lt;=Notes!$B$26,A127,IF(WEEKDAY(A127)=7,A127+2,A127+1))</f>
        <v>45433</v>
      </c>
      <c r="L127" s="5" t="str">
        <f aca="false">IF(K127=A127,"Yes","No")</f>
        <v>Yes</v>
      </c>
      <c r="M127" s="5" t="str">
        <f aca="false">IF(E127="Express","No","Yes")</f>
        <v>Yes</v>
      </c>
      <c r="N127" s="5" t="n">
        <f aca="false">IF(M127="No",2*H127,0)</f>
        <v>0</v>
      </c>
      <c r="O127" s="14" t="n">
        <f aca="false">IF(N127=0,0,IF(G127="Matador",N127/Notes!$B$21*Notes!$B$22,N127/Notes!$B$23*Notes!$B$24))</f>
        <v>0</v>
      </c>
    </row>
    <row r="128" customFormat="false" ht="15" hidden="false" customHeight="false" outlineLevel="0" collapsed="false">
      <c r="A128" s="12" t="n">
        <v>45433</v>
      </c>
      <c r="B128" s="13" t="n">
        <v>0.527777777777778</v>
      </c>
      <c r="C128" s="5" t="s">
        <v>66</v>
      </c>
      <c r="D128" s="5" t="str">
        <f aca="false">VLOOKUP(C128,Areas!$A$2:$E$32,3,FALSE())</f>
        <v>Central</v>
      </c>
      <c r="E128" s="5" t="s">
        <v>137</v>
      </c>
      <c r="F128" s="5" t="s">
        <v>140</v>
      </c>
      <c r="G128" s="5" t="str">
        <f aca="false">IF(F128="Large","Matador","Scooter")</f>
        <v>Matador</v>
      </c>
      <c r="H128" s="5" t="n">
        <f aca="false">VLOOKUP(C128,Areas!$A$2:$E$32,4,FALSE())</f>
        <v>6</v>
      </c>
      <c r="I128" s="5" t="n">
        <f aca="false">2*H128</f>
        <v>12</v>
      </c>
      <c r="J128" s="14" t="n">
        <f aca="false">IF(G128="Matador",I128/Notes!$B$21*Notes!$B$22,I128/Notes!$B$23*Notes!$B$24)</f>
        <v>64.4475</v>
      </c>
      <c r="K128" s="12" t="n">
        <f aca="false">IF(B128&lt;=Notes!$B$26,A128,IF(WEEKDAY(A128)=7,A128+2,A128+1))</f>
        <v>45433</v>
      </c>
      <c r="L128" s="5" t="str">
        <f aca="false">IF(K128=A128,"Yes","No")</f>
        <v>Yes</v>
      </c>
      <c r="M128" s="5" t="str">
        <f aca="false">IF(E128="Express","No","Yes")</f>
        <v>Yes</v>
      </c>
      <c r="N128" s="5" t="n">
        <f aca="false">IF(M128="No",2*H128,0)</f>
        <v>0</v>
      </c>
      <c r="O128" s="14" t="n">
        <f aca="false">IF(N128=0,0,IF(G128="Matador",N128/Notes!$B$21*Notes!$B$22,N128/Notes!$B$23*Notes!$B$24))</f>
        <v>0</v>
      </c>
    </row>
    <row r="129" customFormat="false" ht="15" hidden="false" customHeight="false" outlineLevel="0" collapsed="false">
      <c r="A129" s="12" t="n">
        <v>45433</v>
      </c>
      <c r="B129" s="13" t="n">
        <v>0.53125</v>
      </c>
      <c r="C129" s="5" t="s">
        <v>112</v>
      </c>
      <c r="D129" s="5" t="str">
        <f aca="false">VLOOKUP(C129,Areas!$A$2:$E$32,3,FALSE())</f>
        <v>East</v>
      </c>
      <c r="E129" s="5" t="s">
        <v>139</v>
      </c>
      <c r="F129" s="5" t="s">
        <v>140</v>
      </c>
      <c r="G129" s="5" t="str">
        <f aca="false">IF(F129="Large","Matador","Scooter")</f>
        <v>Matador</v>
      </c>
      <c r="H129" s="5" t="n">
        <f aca="false">VLOOKUP(C129,Areas!$A$2:$E$32,4,FALSE())</f>
        <v>10</v>
      </c>
      <c r="I129" s="5" t="n">
        <f aca="false">2*H129</f>
        <v>20</v>
      </c>
      <c r="J129" s="14" t="n">
        <f aca="false">IF(G129="Matador",I129/Notes!$B$21*Notes!$B$22,I129/Notes!$B$23*Notes!$B$24)</f>
        <v>107.4125</v>
      </c>
      <c r="K129" s="12" t="n">
        <f aca="false">IF(B129&lt;=Notes!$B$26,A129,IF(WEEKDAY(A129)=7,A129+2,A129+1))</f>
        <v>45433</v>
      </c>
      <c r="L129" s="5" t="str">
        <f aca="false">IF(K129=A129,"Yes","No")</f>
        <v>Yes</v>
      </c>
      <c r="M129" s="5" t="str">
        <f aca="false">IF(E129="Express","No","Yes")</f>
        <v>No</v>
      </c>
      <c r="N129" s="5" t="n">
        <f aca="false">IF(M129="No",2*H129,0)</f>
        <v>20</v>
      </c>
      <c r="O129" s="14" t="n">
        <f aca="false">IF(N129=0,0,IF(G129="Matador",N129/Notes!$B$21*Notes!$B$22,N129/Notes!$B$23*Notes!$B$24))</f>
        <v>107.4125</v>
      </c>
    </row>
    <row r="130" customFormat="false" ht="15" hidden="false" customHeight="false" outlineLevel="0" collapsed="false">
      <c r="A130" s="12" t="n">
        <v>45433</v>
      </c>
      <c r="B130" s="13" t="n">
        <v>0.545138888888889</v>
      </c>
      <c r="C130" s="5" t="s">
        <v>82</v>
      </c>
      <c r="D130" s="5" t="str">
        <f aca="false">VLOOKUP(C130,Areas!$A$2:$E$32,3,FALSE())</f>
        <v>South</v>
      </c>
      <c r="E130" s="5" t="s">
        <v>137</v>
      </c>
      <c r="F130" s="5" t="s">
        <v>138</v>
      </c>
      <c r="G130" s="5" t="str">
        <f aca="false">IF(F130="Large","Matador","Scooter")</f>
        <v>Scooter</v>
      </c>
      <c r="H130" s="5" t="n">
        <f aca="false">VLOOKUP(C130,Areas!$A$2:$E$32,4,FALSE())</f>
        <v>11.5</v>
      </c>
      <c r="I130" s="5" t="n">
        <f aca="false">2*H130</f>
        <v>23</v>
      </c>
      <c r="J130" s="14" t="n">
        <f aca="false">IF(G130="Matador",I130/Notes!$B$21*Notes!$B$22,I130/Notes!$B$23*Notes!$B$24)</f>
        <v>51.0293333333333</v>
      </c>
      <c r="K130" s="12" t="n">
        <f aca="false">IF(B130&lt;=Notes!$B$26,A130,IF(WEEKDAY(A130)=7,A130+2,A130+1))</f>
        <v>45434</v>
      </c>
      <c r="L130" s="5" t="str">
        <f aca="false">IF(K130=A130,"Yes","No")</f>
        <v>No</v>
      </c>
      <c r="M130" s="5" t="str">
        <f aca="false">IF(E130="Express","No","Yes")</f>
        <v>Yes</v>
      </c>
      <c r="N130" s="5" t="n">
        <f aca="false">IF(M130="No",2*H130,0)</f>
        <v>0</v>
      </c>
      <c r="O130" s="14" t="n">
        <f aca="false">IF(N130=0,0,IF(G130="Matador",N130/Notes!$B$21*Notes!$B$22,N130/Notes!$B$23*Notes!$B$24))</f>
        <v>0</v>
      </c>
    </row>
    <row r="131" customFormat="false" ht="15" hidden="false" customHeight="false" outlineLevel="0" collapsed="false">
      <c r="A131" s="12" t="n">
        <v>45433</v>
      </c>
      <c r="B131" s="13" t="n">
        <v>0.590277777777778</v>
      </c>
      <c r="C131" s="5" t="s">
        <v>54</v>
      </c>
      <c r="D131" s="5" t="str">
        <f aca="false">VLOOKUP(C131,Areas!$A$2:$E$32,3,FALSE())</f>
        <v>Central</v>
      </c>
      <c r="E131" s="5" t="s">
        <v>139</v>
      </c>
      <c r="F131" s="5" t="s">
        <v>138</v>
      </c>
      <c r="G131" s="5" t="str">
        <f aca="false">IF(F131="Large","Matador","Scooter")</f>
        <v>Scooter</v>
      </c>
      <c r="H131" s="5" t="n">
        <f aca="false">VLOOKUP(C131,Areas!$A$2:$E$32,4,FALSE())</f>
        <v>1</v>
      </c>
      <c r="I131" s="5" t="n">
        <f aca="false">2*H131</f>
        <v>2</v>
      </c>
      <c r="J131" s="14" t="n">
        <f aca="false">IF(G131="Matador",I131/Notes!$B$21*Notes!$B$22,I131/Notes!$B$23*Notes!$B$24)</f>
        <v>4.43733333333333</v>
      </c>
      <c r="K131" s="12" t="n">
        <f aca="false">IF(B131&lt;=Notes!$B$26,A131,IF(WEEKDAY(A131)=7,A131+2,A131+1))</f>
        <v>45434</v>
      </c>
      <c r="L131" s="5" t="str">
        <f aca="false">IF(K131=A131,"Yes","No")</f>
        <v>No</v>
      </c>
      <c r="M131" s="5" t="str">
        <f aca="false">IF(E131="Express","No","Yes")</f>
        <v>No</v>
      </c>
      <c r="N131" s="5" t="n">
        <f aca="false">IF(M131="No",2*H131,0)</f>
        <v>2</v>
      </c>
      <c r="O131" s="14" t="n">
        <f aca="false">IF(N131=0,0,IF(G131="Matador",N131/Notes!$B$21*Notes!$B$22,N131/Notes!$B$23*Notes!$B$24))</f>
        <v>4.43733333333333</v>
      </c>
    </row>
    <row r="132" customFormat="false" ht="15" hidden="false" customHeight="false" outlineLevel="0" collapsed="false">
      <c r="A132" s="12" t="n">
        <v>45433</v>
      </c>
      <c r="B132" s="13" t="n">
        <v>0.638888888888889</v>
      </c>
      <c r="C132" s="5" t="s">
        <v>76</v>
      </c>
      <c r="D132" s="5" t="str">
        <f aca="false">VLOOKUP(C132,Areas!$A$2:$E$32,3,FALSE())</f>
        <v>South</v>
      </c>
      <c r="E132" s="5" t="s">
        <v>139</v>
      </c>
      <c r="F132" s="5" t="s">
        <v>140</v>
      </c>
      <c r="G132" s="5" t="str">
        <f aca="false">IF(F132="Large","Matador","Scooter")</f>
        <v>Matador</v>
      </c>
      <c r="H132" s="5" t="n">
        <f aca="false">VLOOKUP(C132,Areas!$A$2:$E$32,4,FALSE())</f>
        <v>7</v>
      </c>
      <c r="I132" s="5" t="n">
        <f aca="false">2*H132</f>
        <v>14</v>
      </c>
      <c r="J132" s="14" t="n">
        <f aca="false">IF(G132="Matador",I132/Notes!$B$21*Notes!$B$22,I132/Notes!$B$23*Notes!$B$24)</f>
        <v>75.18875</v>
      </c>
      <c r="K132" s="12" t="n">
        <f aca="false">IF(B132&lt;=Notes!$B$26,A132,IF(WEEKDAY(A132)=7,A132+2,A132+1))</f>
        <v>45434</v>
      </c>
      <c r="L132" s="5" t="str">
        <f aca="false">IF(K132=A132,"Yes","No")</f>
        <v>No</v>
      </c>
      <c r="M132" s="5" t="str">
        <f aca="false">IF(E132="Express","No","Yes")</f>
        <v>No</v>
      </c>
      <c r="N132" s="5" t="n">
        <f aca="false">IF(M132="No",2*H132,0)</f>
        <v>14</v>
      </c>
      <c r="O132" s="14" t="n">
        <f aca="false">IF(N132=0,0,IF(G132="Matador",N132/Notes!$B$21*Notes!$B$22,N132/Notes!$B$23*Notes!$B$24))</f>
        <v>75.18875</v>
      </c>
    </row>
    <row r="133" customFormat="false" ht="15" hidden="false" customHeight="false" outlineLevel="0" collapsed="false">
      <c r="A133" s="12" t="n">
        <v>45433</v>
      </c>
      <c r="B133" s="13" t="n">
        <v>0.690972222222222</v>
      </c>
      <c r="C133" s="5" t="s">
        <v>88</v>
      </c>
      <c r="D133" s="5" t="str">
        <f aca="false">VLOOKUP(C133,Areas!$A$2:$E$32,3,FALSE())</f>
        <v>West</v>
      </c>
      <c r="E133" s="5" t="s">
        <v>137</v>
      </c>
      <c r="F133" s="5" t="s">
        <v>138</v>
      </c>
      <c r="G133" s="5" t="str">
        <f aca="false">IF(F133="Large","Matador","Scooter")</f>
        <v>Scooter</v>
      </c>
      <c r="H133" s="5" t="n">
        <f aca="false">VLOOKUP(C133,Areas!$A$2:$E$32,4,FALSE())</f>
        <v>5.5</v>
      </c>
      <c r="I133" s="5" t="n">
        <f aca="false">2*H133</f>
        <v>11</v>
      </c>
      <c r="J133" s="14" t="n">
        <f aca="false">IF(G133="Matador",I133/Notes!$B$21*Notes!$B$22,I133/Notes!$B$23*Notes!$B$24)</f>
        <v>24.4053333333333</v>
      </c>
      <c r="K133" s="12" t="n">
        <f aca="false">IF(B133&lt;=Notes!$B$26,A133,IF(WEEKDAY(A133)=7,A133+2,A133+1))</f>
        <v>45434</v>
      </c>
      <c r="L133" s="5" t="str">
        <f aca="false">IF(K133=A133,"Yes","No")</f>
        <v>No</v>
      </c>
      <c r="M133" s="5" t="str">
        <f aca="false">IF(E133="Express","No","Yes")</f>
        <v>Yes</v>
      </c>
      <c r="N133" s="5" t="n">
        <f aca="false">IF(M133="No",2*H133,0)</f>
        <v>0</v>
      </c>
      <c r="O133" s="14" t="n">
        <f aca="false">IF(N133=0,0,IF(G133="Matador",N133/Notes!$B$21*Notes!$B$22,N133/Notes!$B$23*Notes!$B$24))</f>
        <v>0</v>
      </c>
    </row>
    <row r="134" customFormat="false" ht="15" hidden="false" customHeight="false" outlineLevel="0" collapsed="false">
      <c r="A134" s="12" t="n">
        <v>45433</v>
      </c>
      <c r="B134" s="13" t="n">
        <v>0.767361111111111</v>
      </c>
      <c r="C134" s="5" t="s">
        <v>71</v>
      </c>
      <c r="D134" s="5" t="str">
        <f aca="false">VLOOKUP(C134,Areas!$A$2:$E$32,3,FALSE())</f>
        <v>South</v>
      </c>
      <c r="E134" s="5" t="s">
        <v>137</v>
      </c>
      <c r="F134" s="5" t="s">
        <v>140</v>
      </c>
      <c r="G134" s="5" t="str">
        <f aca="false">IF(F134="Large","Matador","Scooter")</f>
        <v>Matador</v>
      </c>
      <c r="H134" s="5" t="n">
        <f aca="false">VLOOKUP(C134,Areas!$A$2:$E$32,4,FALSE())</f>
        <v>4.5</v>
      </c>
      <c r="I134" s="5" t="n">
        <f aca="false">2*H134</f>
        <v>9</v>
      </c>
      <c r="J134" s="14" t="n">
        <f aca="false">IF(G134="Matador",I134/Notes!$B$21*Notes!$B$22,I134/Notes!$B$23*Notes!$B$24)</f>
        <v>48.335625</v>
      </c>
      <c r="K134" s="12" t="n">
        <f aca="false">IF(B134&lt;=Notes!$B$26,A134,IF(WEEKDAY(A134)=7,A134+2,A134+1))</f>
        <v>45434</v>
      </c>
      <c r="L134" s="5" t="str">
        <f aca="false">IF(K134=A134,"Yes","No")</f>
        <v>No</v>
      </c>
      <c r="M134" s="5" t="str">
        <f aca="false">IF(E134="Express","No","Yes")</f>
        <v>Yes</v>
      </c>
      <c r="N134" s="5" t="n">
        <f aca="false">IF(M134="No",2*H134,0)</f>
        <v>0</v>
      </c>
      <c r="O134" s="14" t="n">
        <f aca="false">IF(N134=0,0,IF(G134="Matador",N134/Notes!$B$21*Notes!$B$22,N134/Notes!$B$23*Notes!$B$24))</f>
        <v>0</v>
      </c>
    </row>
    <row r="135" customFormat="false" ht="15" hidden="false" customHeight="false" outlineLevel="0" collapsed="false">
      <c r="A135" s="12" t="n">
        <v>45433</v>
      </c>
      <c r="B135" s="13" t="n">
        <v>0.802083333333333</v>
      </c>
      <c r="C135" s="5" t="s">
        <v>78</v>
      </c>
      <c r="D135" s="5" t="str">
        <f aca="false">VLOOKUP(C135,Areas!$A$2:$E$32,3,FALSE())</f>
        <v>South</v>
      </c>
      <c r="E135" s="5" t="s">
        <v>137</v>
      </c>
      <c r="F135" s="5" t="s">
        <v>140</v>
      </c>
      <c r="G135" s="5" t="str">
        <f aca="false">IF(F135="Large","Matador","Scooter")</f>
        <v>Matador</v>
      </c>
      <c r="H135" s="5" t="n">
        <f aca="false">VLOOKUP(C135,Areas!$A$2:$E$32,4,FALSE())</f>
        <v>9</v>
      </c>
      <c r="I135" s="5" t="n">
        <f aca="false">2*H135</f>
        <v>18</v>
      </c>
      <c r="J135" s="14" t="n">
        <f aca="false">IF(G135="Matador",I135/Notes!$B$21*Notes!$B$22,I135/Notes!$B$23*Notes!$B$24)</f>
        <v>96.67125</v>
      </c>
      <c r="K135" s="12" t="n">
        <f aca="false">IF(B135&lt;=Notes!$B$26,A135,IF(WEEKDAY(A135)=7,A135+2,A135+1))</f>
        <v>45434</v>
      </c>
      <c r="L135" s="5" t="str">
        <f aca="false">IF(K135=A135,"Yes","No")</f>
        <v>No</v>
      </c>
      <c r="M135" s="5" t="str">
        <f aca="false">IF(E135="Express","No","Yes")</f>
        <v>Yes</v>
      </c>
      <c r="N135" s="5" t="n">
        <f aca="false">IF(M135="No",2*H135,0)</f>
        <v>0</v>
      </c>
      <c r="O135" s="14" t="n">
        <f aca="false">IF(N135=0,0,IF(G135="Matador",N135/Notes!$B$21*Notes!$B$22,N135/Notes!$B$23*Notes!$B$24))</f>
        <v>0</v>
      </c>
    </row>
    <row r="136" customFormat="false" ht="15" hidden="false" customHeight="false" outlineLevel="0" collapsed="false">
      <c r="A136" s="12" t="n">
        <v>45433</v>
      </c>
      <c r="B136" s="13" t="n">
        <v>0.805555555555556</v>
      </c>
      <c r="C136" s="5" t="s">
        <v>74</v>
      </c>
      <c r="D136" s="5" t="str">
        <f aca="false">VLOOKUP(C136,Areas!$A$2:$E$32,3,FALSE())</f>
        <v>South</v>
      </c>
      <c r="E136" s="5" t="s">
        <v>139</v>
      </c>
      <c r="F136" s="5" t="s">
        <v>140</v>
      </c>
      <c r="G136" s="5" t="str">
        <f aca="false">IF(F136="Large","Matador","Scooter")</f>
        <v>Matador</v>
      </c>
      <c r="H136" s="5" t="n">
        <f aca="false">VLOOKUP(C136,Areas!$A$2:$E$32,4,FALSE())</f>
        <v>2.5</v>
      </c>
      <c r="I136" s="5" t="n">
        <f aca="false">2*H136</f>
        <v>5</v>
      </c>
      <c r="J136" s="14" t="n">
        <f aca="false">IF(G136="Matador",I136/Notes!$B$21*Notes!$B$22,I136/Notes!$B$23*Notes!$B$24)</f>
        <v>26.853125</v>
      </c>
      <c r="K136" s="12" t="n">
        <f aca="false">IF(B136&lt;=Notes!$B$26,A136,IF(WEEKDAY(A136)=7,A136+2,A136+1))</f>
        <v>45434</v>
      </c>
      <c r="L136" s="5" t="str">
        <f aca="false">IF(K136=A136,"Yes","No")</f>
        <v>No</v>
      </c>
      <c r="M136" s="5" t="str">
        <f aca="false">IF(E136="Express","No","Yes")</f>
        <v>No</v>
      </c>
      <c r="N136" s="5" t="n">
        <f aca="false">IF(M136="No",2*H136,0)</f>
        <v>5</v>
      </c>
      <c r="O136" s="14" t="n">
        <f aca="false">IF(N136=0,0,IF(G136="Matador",N136/Notes!$B$21*Notes!$B$22,N136/Notes!$B$23*Notes!$B$24))</f>
        <v>26.853125</v>
      </c>
    </row>
    <row r="137" customFormat="false" ht="15" hidden="false" customHeight="false" outlineLevel="0" collapsed="false">
      <c r="A137" s="12" t="n">
        <v>45434</v>
      </c>
      <c r="B137" s="13" t="n">
        <v>0.395833333333333</v>
      </c>
      <c r="C137" s="5" t="s">
        <v>93</v>
      </c>
      <c r="D137" s="5" t="str">
        <f aca="false">VLOOKUP(C137,Areas!$A$2:$E$32,3,FALSE())</f>
        <v>West</v>
      </c>
      <c r="E137" s="5" t="s">
        <v>137</v>
      </c>
      <c r="F137" s="5" t="s">
        <v>140</v>
      </c>
      <c r="G137" s="5" t="str">
        <f aca="false">IF(F137="Large","Matador","Scooter")</f>
        <v>Matador</v>
      </c>
      <c r="H137" s="5" t="n">
        <f aca="false">VLOOKUP(C137,Areas!$A$2:$E$32,4,FALSE())</f>
        <v>6.5</v>
      </c>
      <c r="I137" s="5" t="n">
        <f aca="false">2*H137</f>
        <v>13</v>
      </c>
      <c r="J137" s="14" t="n">
        <f aca="false">IF(G137="Matador",I137/Notes!$B$21*Notes!$B$22,I137/Notes!$B$23*Notes!$B$24)</f>
        <v>69.818125</v>
      </c>
      <c r="K137" s="12" t="n">
        <f aca="false">IF(B137&lt;=Notes!$B$26,A137,IF(WEEKDAY(A137)=7,A137+2,A137+1))</f>
        <v>45434</v>
      </c>
      <c r="L137" s="5" t="str">
        <f aca="false">IF(K137=A137,"Yes","No")</f>
        <v>Yes</v>
      </c>
      <c r="M137" s="5" t="str">
        <f aca="false">IF(E137="Express","No","Yes")</f>
        <v>Yes</v>
      </c>
      <c r="N137" s="5" t="n">
        <f aca="false">IF(M137="No",2*H137,0)</f>
        <v>0</v>
      </c>
      <c r="O137" s="14" t="n">
        <f aca="false">IF(N137=0,0,IF(G137="Matador",N137/Notes!$B$21*Notes!$B$22,N137/Notes!$B$23*Notes!$B$24))</f>
        <v>0</v>
      </c>
    </row>
    <row r="138" customFormat="false" ht="15" hidden="false" customHeight="false" outlineLevel="0" collapsed="false">
      <c r="A138" s="12" t="n">
        <v>45434</v>
      </c>
      <c r="B138" s="13" t="n">
        <v>0.493055555555556</v>
      </c>
      <c r="C138" s="5" t="s">
        <v>99</v>
      </c>
      <c r="D138" s="5" t="str">
        <f aca="false">VLOOKUP(C138,Areas!$A$2:$E$32,3,FALSE())</f>
        <v>North</v>
      </c>
      <c r="E138" s="5" t="s">
        <v>139</v>
      </c>
      <c r="F138" s="5" t="s">
        <v>138</v>
      </c>
      <c r="G138" s="5" t="str">
        <f aca="false">IF(F138="Large","Matador","Scooter")</f>
        <v>Scooter</v>
      </c>
      <c r="H138" s="5" t="n">
        <f aca="false">VLOOKUP(C138,Areas!$A$2:$E$32,4,FALSE())</f>
        <v>6.5</v>
      </c>
      <c r="I138" s="5" t="n">
        <f aca="false">2*H138</f>
        <v>13</v>
      </c>
      <c r="J138" s="14" t="n">
        <f aca="false">IF(G138="Matador",I138/Notes!$B$21*Notes!$B$22,I138/Notes!$B$23*Notes!$B$24)</f>
        <v>28.8426666666667</v>
      </c>
      <c r="K138" s="12" t="n">
        <f aca="false">IF(B138&lt;=Notes!$B$26,A138,IF(WEEKDAY(A138)=7,A138+2,A138+1))</f>
        <v>45434</v>
      </c>
      <c r="L138" s="5" t="str">
        <f aca="false">IF(K138=A138,"Yes","No")</f>
        <v>Yes</v>
      </c>
      <c r="M138" s="5" t="str">
        <f aca="false">IF(E138="Express","No","Yes")</f>
        <v>No</v>
      </c>
      <c r="N138" s="5" t="n">
        <f aca="false">IF(M138="No",2*H138,0)</f>
        <v>13</v>
      </c>
      <c r="O138" s="14" t="n">
        <f aca="false">IF(N138=0,0,IF(G138="Matador",N138/Notes!$B$21*Notes!$B$22,N138/Notes!$B$23*Notes!$B$24))</f>
        <v>28.8426666666667</v>
      </c>
    </row>
    <row r="139" customFormat="false" ht="15" hidden="false" customHeight="false" outlineLevel="0" collapsed="false">
      <c r="A139" s="12" t="n">
        <v>45434</v>
      </c>
      <c r="B139" s="13" t="n">
        <v>0.524305555555556</v>
      </c>
      <c r="C139" s="5" t="s">
        <v>93</v>
      </c>
      <c r="D139" s="5" t="str">
        <f aca="false">VLOOKUP(C139,Areas!$A$2:$E$32,3,FALSE())</f>
        <v>West</v>
      </c>
      <c r="E139" s="5" t="s">
        <v>137</v>
      </c>
      <c r="F139" s="5" t="s">
        <v>138</v>
      </c>
      <c r="G139" s="5" t="str">
        <f aca="false">IF(F139="Large","Matador","Scooter")</f>
        <v>Scooter</v>
      </c>
      <c r="H139" s="5" t="n">
        <f aca="false">VLOOKUP(C139,Areas!$A$2:$E$32,4,FALSE())</f>
        <v>6.5</v>
      </c>
      <c r="I139" s="5" t="n">
        <f aca="false">2*H139</f>
        <v>13</v>
      </c>
      <c r="J139" s="14" t="n">
        <f aca="false">IF(G139="Matador",I139/Notes!$B$21*Notes!$B$22,I139/Notes!$B$23*Notes!$B$24)</f>
        <v>28.8426666666667</v>
      </c>
      <c r="K139" s="12" t="n">
        <f aca="false">IF(B139&lt;=Notes!$B$26,A139,IF(WEEKDAY(A139)=7,A139+2,A139+1))</f>
        <v>45434</v>
      </c>
      <c r="L139" s="5" t="str">
        <f aca="false">IF(K139=A139,"Yes","No")</f>
        <v>Yes</v>
      </c>
      <c r="M139" s="5" t="str">
        <f aca="false">IF(E139="Express","No","Yes")</f>
        <v>Yes</v>
      </c>
      <c r="N139" s="5" t="n">
        <f aca="false">IF(M139="No",2*H139,0)</f>
        <v>0</v>
      </c>
      <c r="O139" s="14" t="n">
        <f aca="false">IF(N139=0,0,IF(G139="Matador",N139/Notes!$B$21*Notes!$B$22,N139/Notes!$B$23*Notes!$B$24))</f>
        <v>0</v>
      </c>
    </row>
    <row r="140" customFormat="false" ht="15" hidden="false" customHeight="false" outlineLevel="0" collapsed="false">
      <c r="A140" s="12" t="n">
        <v>45434</v>
      </c>
      <c r="B140" s="13" t="n">
        <v>0.53125</v>
      </c>
      <c r="C140" s="5" t="s">
        <v>74</v>
      </c>
      <c r="D140" s="5" t="str">
        <f aca="false">VLOOKUP(C140,Areas!$A$2:$E$32,3,FALSE())</f>
        <v>South</v>
      </c>
      <c r="E140" s="5" t="s">
        <v>139</v>
      </c>
      <c r="F140" s="5" t="s">
        <v>138</v>
      </c>
      <c r="G140" s="5" t="str">
        <f aca="false">IF(F140="Large","Matador","Scooter")</f>
        <v>Scooter</v>
      </c>
      <c r="H140" s="5" t="n">
        <f aca="false">VLOOKUP(C140,Areas!$A$2:$E$32,4,FALSE())</f>
        <v>2.5</v>
      </c>
      <c r="I140" s="5" t="n">
        <f aca="false">2*H140</f>
        <v>5</v>
      </c>
      <c r="J140" s="14" t="n">
        <f aca="false">IF(G140="Matador",I140/Notes!$B$21*Notes!$B$22,I140/Notes!$B$23*Notes!$B$24)</f>
        <v>11.0933333333333</v>
      </c>
      <c r="K140" s="12" t="n">
        <f aca="false">IF(B140&lt;=Notes!$B$26,A140,IF(WEEKDAY(A140)=7,A140+2,A140+1))</f>
        <v>45434</v>
      </c>
      <c r="L140" s="5" t="str">
        <f aca="false">IF(K140=A140,"Yes","No")</f>
        <v>Yes</v>
      </c>
      <c r="M140" s="5" t="str">
        <f aca="false">IF(E140="Express","No","Yes")</f>
        <v>No</v>
      </c>
      <c r="N140" s="5" t="n">
        <f aca="false">IF(M140="No",2*H140,0)</f>
        <v>5</v>
      </c>
      <c r="O140" s="14" t="n">
        <f aca="false">IF(N140=0,0,IF(G140="Matador",N140/Notes!$B$21*Notes!$B$22,N140/Notes!$B$23*Notes!$B$24))</f>
        <v>11.0933333333333</v>
      </c>
    </row>
    <row r="141" customFormat="false" ht="15" hidden="false" customHeight="false" outlineLevel="0" collapsed="false">
      <c r="A141" s="12" t="n">
        <v>45434</v>
      </c>
      <c r="B141" s="13" t="n">
        <v>0.534722222222222</v>
      </c>
      <c r="C141" s="5" t="s">
        <v>58</v>
      </c>
      <c r="D141" s="5" t="str">
        <f aca="false">VLOOKUP(C141,Areas!$A$2:$E$32,3,FALSE())</f>
        <v>Central</v>
      </c>
      <c r="E141" s="5" t="s">
        <v>139</v>
      </c>
      <c r="F141" s="5" t="s">
        <v>138</v>
      </c>
      <c r="G141" s="5" t="str">
        <f aca="false">IF(F141="Large","Matador","Scooter")</f>
        <v>Scooter</v>
      </c>
      <c r="H141" s="5" t="n">
        <f aca="false">VLOOKUP(C141,Areas!$A$2:$E$32,4,FALSE())</f>
        <v>2</v>
      </c>
      <c r="I141" s="5" t="n">
        <f aca="false">2*H141</f>
        <v>4</v>
      </c>
      <c r="J141" s="14" t="n">
        <f aca="false">IF(G141="Matador",I141/Notes!$B$21*Notes!$B$22,I141/Notes!$B$23*Notes!$B$24)</f>
        <v>8.87466666666667</v>
      </c>
      <c r="K141" s="12" t="n">
        <f aca="false">IF(B141&lt;=Notes!$B$26,A141,IF(WEEKDAY(A141)=7,A141+2,A141+1))</f>
        <v>45434</v>
      </c>
      <c r="L141" s="5" t="str">
        <f aca="false">IF(K141=A141,"Yes","No")</f>
        <v>Yes</v>
      </c>
      <c r="M141" s="5" t="str">
        <f aca="false">IF(E141="Express","No","Yes")</f>
        <v>No</v>
      </c>
      <c r="N141" s="5" t="n">
        <f aca="false">IF(M141="No",2*H141,0)</f>
        <v>4</v>
      </c>
      <c r="O141" s="14" t="n">
        <f aca="false">IF(N141=0,0,IF(G141="Matador",N141/Notes!$B$21*Notes!$B$22,N141/Notes!$B$23*Notes!$B$24))</f>
        <v>8.87466666666667</v>
      </c>
    </row>
    <row r="142" customFormat="false" ht="15" hidden="false" customHeight="false" outlineLevel="0" collapsed="false">
      <c r="A142" s="12" t="n">
        <v>45434</v>
      </c>
      <c r="B142" s="13" t="n">
        <v>0.541666666666667</v>
      </c>
      <c r="C142" s="5" t="s">
        <v>97</v>
      </c>
      <c r="D142" s="5" t="str">
        <f aca="false">VLOOKUP(C142,Areas!$A$2:$E$32,3,FALSE())</f>
        <v>West</v>
      </c>
      <c r="E142" s="5" t="s">
        <v>137</v>
      </c>
      <c r="F142" s="5" t="s">
        <v>138</v>
      </c>
      <c r="G142" s="5" t="str">
        <f aca="false">IF(F142="Large","Matador","Scooter")</f>
        <v>Scooter</v>
      </c>
      <c r="H142" s="5" t="n">
        <f aca="false">VLOOKUP(C142,Areas!$A$2:$E$32,4,FALSE())</f>
        <v>13.5</v>
      </c>
      <c r="I142" s="5" t="n">
        <f aca="false">2*H142</f>
        <v>27</v>
      </c>
      <c r="J142" s="14" t="n">
        <f aca="false">IF(G142="Matador",I142/Notes!$B$21*Notes!$B$22,I142/Notes!$B$23*Notes!$B$24)</f>
        <v>59.904</v>
      </c>
      <c r="K142" s="12" t="n">
        <f aca="false">IF(B142&lt;=Notes!$B$26,A142,IF(WEEKDAY(A142)=7,A142+2,A142+1))</f>
        <v>45434</v>
      </c>
      <c r="L142" s="5" t="str">
        <f aca="false">IF(K142=A142,"Yes","No")</f>
        <v>Yes</v>
      </c>
      <c r="M142" s="5" t="str">
        <f aca="false">IF(E142="Express","No","Yes")</f>
        <v>Yes</v>
      </c>
      <c r="N142" s="5" t="n">
        <f aca="false">IF(M142="No",2*H142,0)</f>
        <v>0</v>
      </c>
      <c r="O142" s="14" t="n">
        <f aca="false">IF(N142=0,0,IF(G142="Matador",N142/Notes!$B$21*Notes!$B$22,N142/Notes!$B$23*Notes!$B$24))</f>
        <v>0</v>
      </c>
    </row>
    <row r="143" customFormat="false" ht="15" hidden="false" customHeight="false" outlineLevel="0" collapsed="false">
      <c r="A143" s="12" t="n">
        <v>45434</v>
      </c>
      <c r="B143" s="13" t="n">
        <v>0.614583333333333</v>
      </c>
      <c r="C143" s="5" t="s">
        <v>74</v>
      </c>
      <c r="D143" s="5" t="str">
        <f aca="false">VLOOKUP(C143,Areas!$A$2:$E$32,3,FALSE())</f>
        <v>South</v>
      </c>
      <c r="E143" s="5" t="s">
        <v>137</v>
      </c>
      <c r="F143" s="5" t="s">
        <v>138</v>
      </c>
      <c r="G143" s="5" t="str">
        <f aca="false">IF(F143="Large","Matador","Scooter")</f>
        <v>Scooter</v>
      </c>
      <c r="H143" s="5" t="n">
        <f aca="false">VLOOKUP(C143,Areas!$A$2:$E$32,4,FALSE())</f>
        <v>2.5</v>
      </c>
      <c r="I143" s="5" t="n">
        <f aca="false">2*H143</f>
        <v>5</v>
      </c>
      <c r="J143" s="14" t="n">
        <f aca="false">IF(G143="Matador",I143/Notes!$B$21*Notes!$B$22,I143/Notes!$B$23*Notes!$B$24)</f>
        <v>11.0933333333333</v>
      </c>
      <c r="K143" s="12" t="n">
        <f aca="false">IF(B143&lt;=Notes!$B$26,A143,IF(WEEKDAY(A143)=7,A143+2,A143+1))</f>
        <v>45435</v>
      </c>
      <c r="L143" s="5" t="str">
        <f aca="false">IF(K143=A143,"Yes","No")</f>
        <v>No</v>
      </c>
      <c r="M143" s="5" t="str">
        <f aca="false">IF(E143="Express","No","Yes")</f>
        <v>Yes</v>
      </c>
      <c r="N143" s="5" t="n">
        <f aca="false">IF(M143="No",2*H143,0)</f>
        <v>0</v>
      </c>
      <c r="O143" s="14" t="n">
        <f aca="false">IF(N143=0,0,IF(G143="Matador",N143/Notes!$B$21*Notes!$B$22,N143/Notes!$B$23*Notes!$B$24))</f>
        <v>0</v>
      </c>
    </row>
    <row r="144" customFormat="false" ht="15" hidden="false" customHeight="false" outlineLevel="0" collapsed="false">
      <c r="A144" s="12" t="n">
        <v>45434</v>
      </c>
      <c r="B144" s="13" t="n">
        <v>0.614583333333333</v>
      </c>
      <c r="C144" s="5" t="s">
        <v>58</v>
      </c>
      <c r="D144" s="5" t="str">
        <f aca="false">VLOOKUP(C144,Areas!$A$2:$E$32,3,FALSE())</f>
        <v>Central</v>
      </c>
      <c r="E144" s="5" t="s">
        <v>137</v>
      </c>
      <c r="F144" s="5" t="s">
        <v>138</v>
      </c>
      <c r="G144" s="5" t="str">
        <f aca="false">IF(F144="Large","Matador","Scooter")</f>
        <v>Scooter</v>
      </c>
      <c r="H144" s="5" t="n">
        <f aca="false">VLOOKUP(C144,Areas!$A$2:$E$32,4,FALSE())</f>
        <v>2</v>
      </c>
      <c r="I144" s="5" t="n">
        <f aca="false">2*H144</f>
        <v>4</v>
      </c>
      <c r="J144" s="14" t="n">
        <f aca="false">IF(G144="Matador",I144/Notes!$B$21*Notes!$B$22,I144/Notes!$B$23*Notes!$B$24)</f>
        <v>8.87466666666667</v>
      </c>
      <c r="K144" s="12" t="n">
        <f aca="false">IF(B144&lt;=Notes!$B$26,A144,IF(WEEKDAY(A144)=7,A144+2,A144+1))</f>
        <v>45435</v>
      </c>
      <c r="L144" s="5" t="str">
        <f aca="false">IF(K144=A144,"Yes","No")</f>
        <v>No</v>
      </c>
      <c r="M144" s="5" t="str">
        <f aca="false">IF(E144="Express","No","Yes")</f>
        <v>Yes</v>
      </c>
      <c r="N144" s="5" t="n">
        <f aca="false">IF(M144="No",2*H144,0)</f>
        <v>0</v>
      </c>
      <c r="O144" s="14" t="n">
        <f aca="false">IF(N144=0,0,IF(G144="Matador",N144/Notes!$B$21*Notes!$B$22,N144/Notes!$B$23*Notes!$B$24))</f>
        <v>0</v>
      </c>
    </row>
    <row r="145" customFormat="false" ht="15" hidden="false" customHeight="false" outlineLevel="0" collapsed="false">
      <c r="A145" s="12" t="n">
        <v>45434</v>
      </c>
      <c r="B145" s="13" t="n">
        <v>0.618055555555556</v>
      </c>
      <c r="C145" s="5" t="s">
        <v>82</v>
      </c>
      <c r="D145" s="5" t="str">
        <f aca="false">VLOOKUP(C145,Areas!$A$2:$E$32,3,FALSE())</f>
        <v>South</v>
      </c>
      <c r="E145" s="5" t="s">
        <v>137</v>
      </c>
      <c r="F145" s="5" t="s">
        <v>140</v>
      </c>
      <c r="G145" s="5" t="str">
        <f aca="false">IF(F145="Large","Matador","Scooter")</f>
        <v>Matador</v>
      </c>
      <c r="H145" s="5" t="n">
        <f aca="false">VLOOKUP(C145,Areas!$A$2:$E$32,4,FALSE())</f>
        <v>11.5</v>
      </c>
      <c r="I145" s="5" t="n">
        <f aca="false">2*H145</f>
        <v>23</v>
      </c>
      <c r="J145" s="14" t="n">
        <f aca="false">IF(G145="Matador",I145/Notes!$B$21*Notes!$B$22,I145/Notes!$B$23*Notes!$B$24)</f>
        <v>123.524375</v>
      </c>
      <c r="K145" s="12" t="n">
        <f aca="false">IF(B145&lt;=Notes!$B$26,A145,IF(WEEKDAY(A145)=7,A145+2,A145+1))</f>
        <v>45435</v>
      </c>
      <c r="L145" s="5" t="str">
        <f aca="false">IF(K145=A145,"Yes","No")</f>
        <v>No</v>
      </c>
      <c r="M145" s="5" t="str">
        <f aca="false">IF(E145="Express","No","Yes")</f>
        <v>Yes</v>
      </c>
      <c r="N145" s="5" t="n">
        <f aca="false">IF(M145="No",2*H145,0)</f>
        <v>0</v>
      </c>
      <c r="O145" s="14" t="n">
        <f aca="false">IF(N145=0,0,IF(G145="Matador",N145/Notes!$B$21*Notes!$B$22,N145/Notes!$B$23*Notes!$B$24))</f>
        <v>0</v>
      </c>
    </row>
    <row r="146" customFormat="false" ht="15" hidden="false" customHeight="false" outlineLevel="0" collapsed="false">
      <c r="A146" s="12" t="n">
        <v>45434</v>
      </c>
      <c r="B146" s="13" t="n">
        <v>0.795138888888889</v>
      </c>
      <c r="C146" s="5" t="s">
        <v>58</v>
      </c>
      <c r="D146" s="5" t="str">
        <f aca="false">VLOOKUP(C146,Areas!$A$2:$E$32,3,FALSE())</f>
        <v>Central</v>
      </c>
      <c r="E146" s="5" t="s">
        <v>139</v>
      </c>
      <c r="F146" s="5" t="s">
        <v>138</v>
      </c>
      <c r="G146" s="5" t="str">
        <f aca="false">IF(F146="Large","Matador","Scooter")</f>
        <v>Scooter</v>
      </c>
      <c r="H146" s="5" t="n">
        <f aca="false">VLOOKUP(C146,Areas!$A$2:$E$32,4,FALSE())</f>
        <v>2</v>
      </c>
      <c r="I146" s="5" t="n">
        <f aca="false">2*H146</f>
        <v>4</v>
      </c>
      <c r="J146" s="14" t="n">
        <f aca="false">IF(G146="Matador",I146/Notes!$B$21*Notes!$B$22,I146/Notes!$B$23*Notes!$B$24)</f>
        <v>8.87466666666667</v>
      </c>
      <c r="K146" s="12" t="n">
        <f aca="false">IF(B146&lt;=Notes!$B$26,A146,IF(WEEKDAY(A146)=7,A146+2,A146+1))</f>
        <v>45435</v>
      </c>
      <c r="L146" s="5" t="str">
        <f aca="false">IF(K146=A146,"Yes","No")</f>
        <v>No</v>
      </c>
      <c r="M146" s="5" t="str">
        <f aca="false">IF(E146="Express","No","Yes")</f>
        <v>No</v>
      </c>
      <c r="N146" s="5" t="n">
        <f aca="false">IF(M146="No",2*H146,0)</f>
        <v>4</v>
      </c>
      <c r="O146" s="14" t="n">
        <f aca="false">IF(N146=0,0,IF(G146="Matador",N146/Notes!$B$21*Notes!$B$22,N146/Notes!$B$23*Notes!$B$24))</f>
        <v>8.87466666666667</v>
      </c>
    </row>
    <row r="147" customFormat="false" ht="15" hidden="false" customHeight="false" outlineLevel="0" collapsed="false">
      <c r="A147" s="12" t="n">
        <v>45434</v>
      </c>
      <c r="B147" s="13" t="n">
        <v>0.795138888888889</v>
      </c>
      <c r="C147" s="5" t="s">
        <v>58</v>
      </c>
      <c r="D147" s="5" t="str">
        <f aca="false">VLOOKUP(C147,Areas!$A$2:$E$32,3,FALSE())</f>
        <v>Central</v>
      </c>
      <c r="E147" s="5" t="s">
        <v>137</v>
      </c>
      <c r="F147" s="5" t="s">
        <v>138</v>
      </c>
      <c r="G147" s="5" t="str">
        <f aca="false">IF(F147="Large","Matador","Scooter")</f>
        <v>Scooter</v>
      </c>
      <c r="H147" s="5" t="n">
        <f aca="false">VLOOKUP(C147,Areas!$A$2:$E$32,4,FALSE())</f>
        <v>2</v>
      </c>
      <c r="I147" s="5" t="n">
        <f aca="false">2*H147</f>
        <v>4</v>
      </c>
      <c r="J147" s="14" t="n">
        <f aca="false">IF(G147="Matador",I147/Notes!$B$21*Notes!$B$22,I147/Notes!$B$23*Notes!$B$24)</f>
        <v>8.87466666666667</v>
      </c>
      <c r="K147" s="12" t="n">
        <f aca="false">IF(B147&lt;=Notes!$B$26,A147,IF(WEEKDAY(A147)=7,A147+2,A147+1))</f>
        <v>45435</v>
      </c>
      <c r="L147" s="5" t="str">
        <f aca="false">IF(K147=A147,"Yes","No")</f>
        <v>No</v>
      </c>
      <c r="M147" s="5" t="str">
        <f aca="false">IF(E147="Express","No","Yes")</f>
        <v>Yes</v>
      </c>
      <c r="N147" s="5" t="n">
        <f aca="false">IF(M147="No",2*H147,0)</f>
        <v>0</v>
      </c>
      <c r="O147" s="14" t="n">
        <f aca="false">IF(N147=0,0,IF(G147="Matador",N147/Notes!$B$21*Notes!$B$22,N147/Notes!$B$23*Notes!$B$24))</f>
        <v>0</v>
      </c>
    </row>
    <row r="148" customFormat="false" ht="15" hidden="false" customHeight="false" outlineLevel="0" collapsed="false">
      <c r="A148" s="12" t="n">
        <v>45435</v>
      </c>
      <c r="B148" s="13" t="n">
        <v>0.482638888888889</v>
      </c>
      <c r="C148" s="5" t="s">
        <v>60</v>
      </c>
      <c r="D148" s="5" t="str">
        <f aca="false">VLOOKUP(C148,Areas!$A$2:$E$32,3,FALSE())</f>
        <v>Central</v>
      </c>
      <c r="E148" s="5" t="s">
        <v>139</v>
      </c>
      <c r="F148" s="5" t="s">
        <v>138</v>
      </c>
      <c r="G148" s="5" t="str">
        <f aca="false">IF(F148="Large","Matador","Scooter")</f>
        <v>Scooter</v>
      </c>
      <c r="H148" s="5" t="n">
        <f aca="false">VLOOKUP(C148,Areas!$A$2:$E$32,4,FALSE())</f>
        <v>2</v>
      </c>
      <c r="I148" s="5" t="n">
        <f aca="false">2*H148</f>
        <v>4</v>
      </c>
      <c r="J148" s="14" t="n">
        <f aca="false">IF(G148="Matador",I148/Notes!$B$21*Notes!$B$22,I148/Notes!$B$23*Notes!$B$24)</f>
        <v>8.87466666666667</v>
      </c>
      <c r="K148" s="12" t="n">
        <f aca="false">IF(B148&lt;=Notes!$B$26,A148,IF(WEEKDAY(A148)=7,A148+2,A148+1))</f>
        <v>45435</v>
      </c>
      <c r="L148" s="5" t="str">
        <f aca="false">IF(K148=A148,"Yes","No")</f>
        <v>Yes</v>
      </c>
      <c r="M148" s="5" t="str">
        <f aca="false">IF(E148="Express","No","Yes")</f>
        <v>No</v>
      </c>
      <c r="N148" s="5" t="n">
        <f aca="false">IF(M148="No",2*H148,0)</f>
        <v>4</v>
      </c>
      <c r="O148" s="14" t="n">
        <f aca="false">IF(N148=0,0,IF(G148="Matador",N148/Notes!$B$21*Notes!$B$22,N148/Notes!$B$23*Notes!$B$24))</f>
        <v>8.87466666666667</v>
      </c>
    </row>
    <row r="149" customFormat="false" ht="15" hidden="false" customHeight="false" outlineLevel="0" collapsed="false">
      <c r="A149" s="12" t="n">
        <v>45435</v>
      </c>
      <c r="B149" s="13" t="n">
        <v>0.489583333333333</v>
      </c>
      <c r="C149" s="5" t="s">
        <v>60</v>
      </c>
      <c r="D149" s="5" t="str">
        <f aca="false">VLOOKUP(C149,Areas!$A$2:$E$32,3,FALSE())</f>
        <v>Central</v>
      </c>
      <c r="E149" s="5" t="s">
        <v>137</v>
      </c>
      <c r="F149" s="5" t="s">
        <v>138</v>
      </c>
      <c r="G149" s="5" t="str">
        <f aca="false">IF(F149="Large","Matador","Scooter")</f>
        <v>Scooter</v>
      </c>
      <c r="H149" s="5" t="n">
        <f aca="false">VLOOKUP(C149,Areas!$A$2:$E$32,4,FALSE())</f>
        <v>2</v>
      </c>
      <c r="I149" s="5" t="n">
        <f aca="false">2*H149</f>
        <v>4</v>
      </c>
      <c r="J149" s="14" t="n">
        <f aca="false">IF(G149="Matador",I149/Notes!$B$21*Notes!$B$22,I149/Notes!$B$23*Notes!$B$24)</f>
        <v>8.87466666666667</v>
      </c>
      <c r="K149" s="12" t="n">
        <f aca="false">IF(B149&lt;=Notes!$B$26,A149,IF(WEEKDAY(A149)=7,A149+2,A149+1))</f>
        <v>45435</v>
      </c>
      <c r="L149" s="5" t="str">
        <f aca="false">IF(K149=A149,"Yes","No")</f>
        <v>Yes</v>
      </c>
      <c r="M149" s="5" t="str">
        <f aca="false">IF(E149="Express","No","Yes")</f>
        <v>Yes</v>
      </c>
      <c r="N149" s="5" t="n">
        <f aca="false">IF(M149="No",2*H149,0)</f>
        <v>0</v>
      </c>
      <c r="O149" s="14" t="n">
        <f aca="false">IF(N149=0,0,IF(G149="Matador",N149/Notes!$B$21*Notes!$B$22,N149/Notes!$B$23*Notes!$B$24))</f>
        <v>0</v>
      </c>
    </row>
    <row r="150" customFormat="false" ht="15" hidden="false" customHeight="false" outlineLevel="0" collapsed="false">
      <c r="A150" s="12" t="n">
        <v>45435</v>
      </c>
      <c r="B150" s="13" t="n">
        <v>0.534722222222222</v>
      </c>
      <c r="C150" s="5" t="s">
        <v>74</v>
      </c>
      <c r="D150" s="5" t="str">
        <f aca="false">VLOOKUP(C150,Areas!$A$2:$E$32,3,FALSE())</f>
        <v>South</v>
      </c>
      <c r="E150" s="5" t="s">
        <v>137</v>
      </c>
      <c r="F150" s="5" t="s">
        <v>138</v>
      </c>
      <c r="G150" s="5" t="str">
        <f aca="false">IF(F150="Large","Matador","Scooter")</f>
        <v>Scooter</v>
      </c>
      <c r="H150" s="5" t="n">
        <f aca="false">VLOOKUP(C150,Areas!$A$2:$E$32,4,FALSE())</f>
        <v>2.5</v>
      </c>
      <c r="I150" s="5" t="n">
        <f aca="false">2*H150</f>
        <v>5</v>
      </c>
      <c r="J150" s="14" t="n">
        <f aca="false">IF(G150="Matador",I150/Notes!$B$21*Notes!$B$22,I150/Notes!$B$23*Notes!$B$24)</f>
        <v>11.0933333333333</v>
      </c>
      <c r="K150" s="12" t="n">
        <f aca="false">IF(B150&lt;=Notes!$B$26,A150,IF(WEEKDAY(A150)=7,A150+2,A150+1))</f>
        <v>45435</v>
      </c>
      <c r="L150" s="5" t="str">
        <f aca="false">IF(K150=A150,"Yes","No")</f>
        <v>Yes</v>
      </c>
      <c r="M150" s="5" t="str">
        <f aca="false">IF(E150="Express","No","Yes")</f>
        <v>Yes</v>
      </c>
      <c r="N150" s="5" t="n">
        <f aca="false">IF(M150="No",2*H150,0)</f>
        <v>0</v>
      </c>
      <c r="O150" s="14" t="n">
        <f aca="false">IF(N150=0,0,IF(G150="Matador",N150/Notes!$B$21*Notes!$B$22,N150/Notes!$B$23*Notes!$B$24))</f>
        <v>0</v>
      </c>
    </row>
    <row r="151" customFormat="false" ht="15" hidden="false" customHeight="false" outlineLevel="0" collapsed="false">
      <c r="A151" s="12" t="n">
        <v>45435</v>
      </c>
      <c r="B151" s="13" t="n">
        <v>0.559027777777778</v>
      </c>
      <c r="C151" s="5" t="s">
        <v>74</v>
      </c>
      <c r="D151" s="5" t="str">
        <f aca="false">VLOOKUP(C151,Areas!$A$2:$E$32,3,FALSE())</f>
        <v>South</v>
      </c>
      <c r="E151" s="5" t="s">
        <v>139</v>
      </c>
      <c r="F151" s="5" t="s">
        <v>138</v>
      </c>
      <c r="G151" s="5" t="str">
        <f aca="false">IF(F151="Large","Matador","Scooter")</f>
        <v>Scooter</v>
      </c>
      <c r="H151" s="5" t="n">
        <f aca="false">VLOOKUP(C151,Areas!$A$2:$E$32,4,FALSE())</f>
        <v>2.5</v>
      </c>
      <c r="I151" s="5" t="n">
        <f aca="false">2*H151</f>
        <v>5</v>
      </c>
      <c r="J151" s="14" t="n">
        <f aca="false">IF(G151="Matador",I151/Notes!$B$21*Notes!$B$22,I151/Notes!$B$23*Notes!$B$24)</f>
        <v>11.0933333333333</v>
      </c>
      <c r="K151" s="12" t="n">
        <f aca="false">IF(B151&lt;=Notes!$B$26,A151,IF(WEEKDAY(A151)=7,A151+2,A151+1))</f>
        <v>45436</v>
      </c>
      <c r="L151" s="5" t="str">
        <f aca="false">IF(K151=A151,"Yes","No")</f>
        <v>No</v>
      </c>
      <c r="M151" s="5" t="str">
        <f aca="false">IF(E151="Express","No","Yes")</f>
        <v>No</v>
      </c>
      <c r="N151" s="5" t="n">
        <f aca="false">IF(M151="No",2*H151,0)</f>
        <v>5</v>
      </c>
      <c r="O151" s="14" t="n">
        <f aca="false">IF(N151=0,0,IF(G151="Matador",N151/Notes!$B$21*Notes!$B$22,N151/Notes!$B$23*Notes!$B$24))</f>
        <v>11.0933333333333</v>
      </c>
    </row>
    <row r="152" customFormat="false" ht="15" hidden="false" customHeight="false" outlineLevel="0" collapsed="false">
      <c r="A152" s="12" t="n">
        <v>45435</v>
      </c>
      <c r="B152" s="13" t="n">
        <v>0.569444444444444</v>
      </c>
      <c r="C152" s="5" t="s">
        <v>74</v>
      </c>
      <c r="D152" s="5" t="str">
        <f aca="false">VLOOKUP(C152,Areas!$A$2:$E$32,3,FALSE())</f>
        <v>South</v>
      </c>
      <c r="E152" s="5" t="s">
        <v>137</v>
      </c>
      <c r="F152" s="5" t="s">
        <v>138</v>
      </c>
      <c r="G152" s="5" t="str">
        <f aca="false">IF(F152="Large","Matador","Scooter")</f>
        <v>Scooter</v>
      </c>
      <c r="H152" s="5" t="n">
        <f aca="false">VLOOKUP(C152,Areas!$A$2:$E$32,4,FALSE())</f>
        <v>2.5</v>
      </c>
      <c r="I152" s="5" t="n">
        <f aca="false">2*H152</f>
        <v>5</v>
      </c>
      <c r="J152" s="14" t="n">
        <f aca="false">IF(G152="Matador",I152/Notes!$B$21*Notes!$B$22,I152/Notes!$B$23*Notes!$B$24)</f>
        <v>11.0933333333333</v>
      </c>
      <c r="K152" s="12" t="n">
        <f aca="false">IF(B152&lt;=Notes!$B$26,A152,IF(WEEKDAY(A152)=7,A152+2,A152+1))</f>
        <v>45436</v>
      </c>
      <c r="L152" s="5" t="str">
        <f aca="false">IF(K152=A152,"Yes","No")</f>
        <v>No</v>
      </c>
      <c r="M152" s="5" t="str">
        <f aca="false">IF(E152="Express","No","Yes")</f>
        <v>Yes</v>
      </c>
      <c r="N152" s="5" t="n">
        <f aca="false">IF(M152="No",2*H152,0)</f>
        <v>0</v>
      </c>
      <c r="O152" s="14" t="n">
        <f aca="false">IF(N152=0,0,IF(G152="Matador",N152/Notes!$B$21*Notes!$B$22,N152/Notes!$B$23*Notes!$B$24))</f>
        <v>0</v>
      </c>
    </row>
    <row r="153" customFormat="false" ht="15" hidden="false" customHeight="false" outlineLevel="0" collapsed="false">
      <c r="A153" s="12" t="n">
        <v>45435</v>
      </c>
      <c r="B153" s="13" t="n">
        <v>0.579861111111111</v>
      </c>
      <c r="C153" s="5" t="s">
        <v>58</v>
      </c>
      <c r="D153" s="5" t="str">
        <f aca="false">VLOOKUP(C153,Areas!$A$2:$E$32,3,FALSE())</f>
        <v>Central</v>
      </c>
      <c r="E153" s="5" t="s">
        <v>137</v>
      </c>
      <c r="F153" s="5" t="s">
        <v>138</v>
      </c>
      <c r="G153" s="5" t="str">
        <f aca="false">IF(F153="Large","Matador","Scooter")</f>
        <v>Scooter</v>
      </c>
      <c r="H153" s="5" t="n">
        <f aca="false">VLOOKUP(C153,Areas!$A$2:$E$32,4,FALSE())</f>
        <v>2</v>
      </c>
      <c r="I153" s="5" t="n">
        <f aca="false">2*H153</f>
        <v>4</v>
      </c>
      <c r="J153" s="14" t="n">
        <f aca="false">IF(G153="Matador",I153/Notes!$B$21*Notes!$B$22,I153/Notes!$B$23*Notes!$B$24)</f>
        <v>8.87466666666667</v>
      </c>
      <c r="K153" s="12" t="n">
        <f aca="false">IF(B153&lt;=Notes!$B$26,A153,IF(WEEKDAY(A153)=7,A153+2,A153+1))</f>
        <v>45436</v>
      </c>
      <c r="L153" s="5" t="str">
        <f aca="false">IF(K153=A153,"Yes","No")</f>
        <v>No</v>
      </c>
      <c r="M153" s="5" t="str">
        <f aca="false">IF(E153="Express","No","Yes")</f>
        <v>Yes</v>
      </c>
      <c r="N153" s="5" t="n">
        <f aca="false">IF(M153="No",2*H153,0)</f>
        <v>0</v>
      </c>
      <c r="O153" s="14" t="n">
        <f aca="false">IF(N153=0,0,IF(G153="Matador",N153/Notes!$B$21*Notes!$B$22,N153/Notes!$B$23*Notes!$B$24))</f>
        <v>0</v>
      </c>
    </row>
    <row r="154" customFormat="false" ht="15" hidden="false" customHeight="false" outlineLevel="0" collapsed="false">
      <c r="A154" s="12" t="n">
        <v>45435</v>
      </c>
      <c r="B154" s="13" t="n">
        <v>0.638888888888889</v>
      </c>
      <c r="C154" s="5" t="s">
        <v>71</v>
      </c>
      <c r="D154" s="5" t="str">
        <f aca="false">VLOOKUP(C154,Areas!$A$2:$E$32,3,FALSE())</f>
        <v>South</v>
      </c>
      <c r="E154" s="5" t="s">
        <v>139</v>
      </c>
      <c r="F154" s="5" t="s">
        <v>140</v>
      </c>
      <c r="G154" s="5" t="str">
        <f aca="false">IF(F154="Large","Matador","Scooter")</f>
        <v>Matador</v>
      </c>
      <c r="H154" s="5" t="n">
        <f aca="false">VLOOKUP(C154,Areas!$A$2:$E$32,4,FALSE())</f>
        <v>4.5</v>
      </c>
      <c r="I154" s="5" t="n">
        <f aca="false">2*H154</f>
        <v>9</v>
      </c>
      <c r="J154" s="14" t="n">
        <f aca="false">IF(G154="Matador",I154/Notes!$B$21*Notes!$B$22,I154/Notes!$B$23*Notes!$B$24)</f>
        <v>48.335625</v>
      </c>
      <c r="K154" s="12" t="n">
        <f aca="false">IF(B154&lt;=Notes!$B$26,A154,IF(WEEKDAY(A154)=7,A154+2,A154+1))</f>
        <v>45436</v>
      </c>
      <c r="L154" s="5" t="str">
        <f aca="false">IF(K154=A154,"Yes","No")</f>
        <v>No</v>
      </c>
      <c r="M154" s="5" t="str">
        <f aca="false">IF(E154="Express","No","Yes")</f>
        <v>No</v>
      </c>
      <c r="N154" s="5" t="n">
        <f aca="false">IF(M154="No",2*H154,0)</f>
        <v>9</v>
      </c>
      <c r="O154" s="14" t="n">
        <f aca="false">IF(N154=0,0,IF(G154="Matador",N154/Notes!$B$21*Notes!$B$22,N154/Notes!$B$23*Notes!$B$24))</f>
        <v>48.335625</v>
      </c>
    </row>
    <row r="155" customFormat="false" ht="15" hidden="false" customHeight="false" outlineLevel="0" collapsed="false">
      <c r="A155" s="12" t="n">
        <v>45435</v>
      </c>
      <c r="B155" s="13" t="n">
        <v>0.659722222222222</v>
      </c>
      <c r="C155" s="5" t="s">
        <v>58</v>
      </c>
      <c r="D155" s="5" t="str">
        <f aca="false">VLOOKUP(C155,Areas!$A$2:$E$32,3,FALSE())</f>
        <v>Central</v>
      </c>
      <c r="E155" s="5" t="s">
        <v>137</v>
      </c>
      <c r="F155" s="5" t="s">
        <v>140</v>
      </c>
      <c r="G155" s="5" t="str">
        <f aca="false">IF(F155="Large","Matador","Scooter")</f>
        <v>Matador</v>
      </c>
      <c r="H155" s="5" t="n">
        <f aca="false">VLOOKUP(C155,Areas!$A$2:$E$32,4,FALSE())</f>
        <v>2</v>
      </c>
      <c r="I155" s="5" t="n">
        <f aca="false">2*H155</f>
        <v>4</v>
      </c>
      <c r="J155" s="14" t="n">
        <f aca="false">IF(G155="Matador",I155/Notes!$B$21*Notes!$B$22,I155/Notes!$B$23*Notes!$B$24)</f>
        <v>21.4825</v>
      </c>
      <c r="K155" s="12" t="n">
        <f aca="false">IF(B155&lt;=Notes!$B$26,A155,IF(WEEKDAY(A155)=7,A155+2,A155+1))</f>
        <v>45436</v>
      </c>
      <c r="L155" s="5" t="str">
        <f aca="false">IF(K155=A155,"Yes","No")</f>
        <v>No</v>
      </c>
      <c r="M155" s="5" t="str">
        <f aca="false">IF(E155="Express","No","Yes")</f>
        <v>Yes</v>
      </c>
      <c r="N155" s="5" t="n">
        <f aca="false">IF(M155="No",2*H155,0)</f>
        <v>0</v>
      </c>
      <c r="O155" s="14" t="n">
        <f aca="false">IF(N155=0,0,IF(G155="Matador",N155/Notes!$B$21*Notes!$B$22,N155/Notes!$B$23*Notes!$B$24))</f>
        <v>0</v>
      </c>
    </row>
    <row r="156" customFormat="false" ht="15" hidden="false" customHeight="false" outlineLevel="0" collapsed="false">
      <c r="A156" s="12" t="n">
        <v>45435</v>
      </c>
      <c r="B156" s="13" t="n">
        <v>0.743055555555556</v>
      </c>
      <c r="C156" s="5" t="s">
        <v>119</v>
      </c>
      <c r="D156" s="5" t="str">
        <f aca="false">VLOOKUP(C156,Areas!$A$2:$E$32,3,FALSE())</f>
        <v>East</v>
      </c>
      <c r="E156" s="5" t="s">
        <v>137</v>
      </c>
      <c r="F156" s="5" t="s">
        <v>140</v>
      </c>
      <c r="G156" s="5" t="str">
        <f aca="false">IF(F156="Large","Matador","Scooter")</f>
        <v>Matador</v>
      </c>
      <c r="H156" s="5" t="n">
        <f aca="false">VLOOKUP(C156,Areas!$A$2:$E$32,4,FALSE())</f>
        <v>18</v>
      </c>
      <c r="I156" s="5" t="n">
        <f aca="false">2*H156</f>
        <v>36</v>
      </c>
      <c r="J156" s="14" t="n">
        <f aca="false">IF(G156="Matador",I156/Notes!$B$21*Notes!$B$22,I156/Notes!$B$23*Notes!$B$24)</f>
        <v>193.3425</v>
      </c>
      <c r="K156" s="12" t="n">
        <f aca="false">IF(B156&lt;=Notes!$B$26,A156,IF(WEEKDAY(A156)=7,A156+2,A156+1))</f>
        <v>45436</v>
      </c>
      <c r="L156" s="5" t="str">
        <f aca="false">IF(K156=A156,"Yes","No")</f>
        <v>No</v>
      </c>
      <c r="M156" s="5" t="str">
        <f aca="false">IF(E156="Express","No","Yes")</f>
        <v>Yes</v>
      </c>
      <c r="N156" s="5" t="n">
        <f aca="false">IF(M156="No",2*H156,0)</f>
        <v>0</v>
      </c>
      <c r="O156" s="14" t="n">
        <f aca="false">IF(N156=0,0,IF(G156="Matador",N156/Notes!$B$21*Notes!$B$22,N156/Notes!$B$23*Notes!$B$24))</f>
        <v>0</v>
      </c>
    </row>
    <row r="157" customFormat="false" ht="15" hidden="false" customHeight="false" outlineLevel="0" collapsed="false">
      <c r="A157" s="12" t="n">
        <v>45435</v>
      </c>
      <c r="B157" s="13" t="n">
        <v>0.784722222222222</v>
      </c>
      <c r="C157" s="5" t="s">
        <v>108</v>
      </c>
      <c r="D157" s="5" t="str">
        <f aca="false">VLOOKUP(C157,Areas!$A$2:$E$32,3,FALSE())</f>
        <v>North</v>
      </c>
      <c r="E157" s="5" t="s">
        <v>137</v>
      </c>
      <c r="F157" s="5" t="s">
        <v>138</v>
      </c>
      <c r="G157" s="5" t="str">
        <f aca="false">IF(F157="Large","Matador","Scooter")</f>
        <v>Scooter</v>
      </c>
      <c r="H157" s="5" t="n">
        <f aca="false">VLOOKUP(C157,Areas!$A$2:$E$32,4,FALSE())</f>
        <v>14.5</v>
      </c>
      <c r="I157" s="5" t="n">
        <f aca="false">2*H157</f>
        <v>29</v>
      </c>
      <c r="J157" s="14" t="n">
        <f aca="false">IF(G157="Matador",I157/Notes!$B$21*Notes!$B$22,I157/Notes!$B$23*Notes!$B$24)</f>
        <v>64.3413333333333</v>
      </c>
      <c r="K157" s="12" t="n">
        <f aca="false">IF(B157&lt;=Notes!$B$26,A157,IF(WEEKDAY(A157)=7,A157+2,A157+1))</f>
        <v>45436</v>
      </c>
      <c r="L157" s="5" t="str">
        <f aca="false">IF(K157=A157,"Yes","No")</f>
        <v>No</v>
      </c>
      <c r="M157" s="5" t="str">
        <f aca="false">IF(E157="Express","No","Yes")</f>
        <v>Yes</v>
      </c>
      <c r="N157" s="5" t="n">
        <f aca="false">IF(M157="No",2*H157,0)</f>
        <v>0</v>
      </c>
      <c r="O157" s="14" t="n">
        <f aca="false">IF(N157=0,0,IF(G157="Matador",N157/Notes!$B$21*Notes!$B$22,N157/Notes!$B$23*Notes!$B$24))</f>
        <v>0</v>
      </c>
    </row>
    <row r="158" customFormat="false" ht="15" hidden="false" customHeight="false" outlineLevel="0" collapsed="false">
      <c r="A158" s="12" t="n">
        <v>45435</v>
      </c>
      <c r="B158" s="13" t="n">
        <v>0.809027777777778</v>
      </c>
      <c r="C158" s="5" t="s">
        <v>88</v>
      </c>
      <c r="D158" s="5" t="str">
        <f aca="false">VLOOKUP(C158,Areas!$A$2:$E$32,3,FALSE())</f>
        <v>West</v>
      </c>
      <c r="E158" s="5" t="s">
        <v>137</v>
      </c>
      <c r="F158" s="5" t="s">
        <v>138</v>
      </c>
      <c r="G158" s="5" t="str">
        <f aca="false">IF(F158="Large","Matador","Scooter")</f>
        <v>Scooter</v>
      </c>
      <c r="H158" s="5" t="n">
        <f aca="false">VLOOKUP(C158,Areas!$A$2:$E$32,4,FALSE())</f>
        <v>5.5</v>
      </c>
      <c r="I158" s="5" t="n">
        <f aca="false">2*H158</f>
        <v>11</v>
      </c>
      <c r="J158" s="14" t="n">
        <f aca="false">IF(G158="Matador",I158/Notes!$B$21*Notes!$B$22,I158/Notes!$B$23*Notes!$B$24)</f>
        <v>24.4053333333333</v>
      </c>
      <c r="K158" s="12" t="n">
        <f aca="false">IF(B158&lt;=Notes!$B$26,A158,IF(WEEKDAY(A158)=7,A158+2,A158+1))</f>
        <v>45436</v>
      </c>
      <c r="L158" s="5" t="str">
        <f aca="false">IF(K158=A158,"Yes","No")</f>
        <v>No</v>
      </c>
      <c r="M158" s="5" t="str">
        <f aca="false">IF(E158="Express","No","Yes")</f>
        <v>Yes</v>
      </c>
      <c r="N158" s="5" t="n">
        <f aca="false">IF(M158="No",2*H158,0)</f>
        <v>0</v>
      </c>
      <c r="O158" s="14" t="n">
        <f aca="false">IF(N158=0,0,IF(G158="Matador",N158/Notes!$B$21*Notes!$B$22,N158/Notes!$B$23*Notes!$B$24))</f>
        <v>0</v>
      </c>
    </row>
    <row r="159" customFormat="false" ht="15" hidden="false" customHeight="false" outlineLevel="0" collapsed="false">
      <c r="A159" s="12" t="n">
        <v>45436</v>
      </c>
      <c r="B159" s="13" t="n">
        <v>0.461805555555556</v>
      </c>
      <c r="C159" s="5" t="s">
        <v>112</v>
      </c>
      <c r="D159" s="5" t="str">
        <f aca="false">VLOOKUP(C159,Areas!$A$2:$E$32,3,FALSE())</f>
        <v>East</v>
      </c>
      <c r="E159" s="5" t="s">
        <v>139</v>
      </c>
      <c r="F159" s="5" t="s">
        <v>140</v>
      </c>
      <c r="G159" s="5" t="str">
        <f aca="false">IF(F159="Large","Matador","Scooter")</f>
        <v>Matador</v>
      </c>
      <c r="H159" s="5" t="n">
        <f aca="false">VLOOKUP(C159,Areas!$A$2:$E$32,4,FALSE())</f>
        <v>10</v>
      </c>
      <c r="I159" s="5" t="n">
        <f aca="false">2*H159</f>
        <v>20</v>
      </c>
      <c r="J159" s="14" t="n">
        <f aca="false">IF(G159="Matador",I159/Notes!$B$21*Notes!$B$22,I159/Notes!$B$23*Notes!$B$24)</f>
        <v>107.4125</v>
      </c>
      <c r="K159" s="12" t="n">
        <f aca="false">IF(B159&lt;=Notes!$B$26,A159,IF(WEEKDAY(A159)=7,A159+2,A159+1))</f>
        <v>45436</v>
      </c>
      <c r="L159" s="5" t="str">
        <f aca="false">IF(K159=A159,"Yes","No")</f>
        <v>Yes</v>
      </c>
      <c r="M159" s="5" t="str">
        <f aca="false">IF(E159="Express","No","Yes")</f>
        <v>No</v>
      </c>
      <c r="N159" s="5" t="n">
        <f aca="false">IF(M159="No",2*H159,0)</f>
        <v>20</v>
      </c>
      <c r="O159" s="14" t="n">
        <f aca="false">IF(N159=0,0,IF(G159="Matador",N159/Notes!$B$21*Notes!$B$22,N159/Notes!$B$23*Notes!$B$24))</f>
        <v>107.4125</v>
      </c>
    </row>
    <row r="160" customFormat="false" ht="15" hidden="false" customHeight="false" outlineLevel="0" collapsed="false">
      <c r="A160" s="12" t="n">
        <v>45436</v>
      </c>
      <c r="B160" s="13" t="n">
        <v>0.517361111111111</v>
      </c>
      <c r="C160" s="5" t="s">
        <v>74</v>
      </c>
      <c r="D160" s="5" t="str">
        <f aca="false">VLOOKUP(C160,Areas!$A$2:$E$32,3,FALSE())</f>
        <v>South</v>
      </c>
      <c r="E160" s="5" t="s">
        <v>137</v>
      </c>
      <c r="F160" s="5" t="s">
        <v>138</v>
      </c>
      <c r="G160" s="5" t="str">
        <f aca="false">IF(F160="Large","Matador","Scooter")</f>
        <v>Scooter</v>
      </c>
      <c r="H160" s="5" t="n">
        <f aca="false">VLOOKUP(C160,Areas!$A$2:$E$32,4,FALSE())</f>
        <v>2.5</v>
      </c>
      <c r="I160" s="5" t="n">
        <f aca="false">2*H160</f>
        <v>5</v>
      </c>
      <c r="J160" s="14" t="n">
        <f aca="false">IF(G160="Matador",I160/Notes!$B$21*Notes!$B$22,I160/Notes!$B$23*Notes!$B$24)</f>
        <v>11.0933333333333</v>
      </c>
      <c r="K160" s="12" t="n">
        <f aca="false">IF(B160&lt;=Notes!$B$26,A160,IF(WEEKDAY(A160)=7,A160+2,A160+1))</f>
        <v>45436</v>
      </c>
      <c r="L160" s="5" t="str">
        <f aca="false">IF(K160=A160,"Yes","No")</f>
        <v>Yes</v>
      </c>
      <c r="M160" s="5" t="str">
        <f aca="false">IF(E160="Express","No","Yes")</f>
        <v>Yes</v>
      </c>
      <c r="N160" s="5" t="n">
        <f aca="false">IF(M160="No",2*H160,0)</f>
        <v>0</v>
      </c>
      <c r="O160" s="14" t="n">
        <f aca="false">IF(N160=0,0,IF(G160="Matador",N160/Notes!$B$21*Notes!$B$22,N160/Notes!$B$23*Notes!$B$24))</f>
        <v>0</v>
      </c>
    </row>
    <row r="161" customFormat="false" ht="15" hidden="false" customHeight="false" outlineLevel="0" collapsed="false">
      <c r="A161" s="12" t="n">
        <v>45436</v>
      </c>
      <c r="B161" s="13" t="n">
        <v>0.5625</v>
      </c>
      <c r="C161" s="5" t="s">
        <v>106</v>
      </c>
      <c r="D161" s="5" t="str">
        <f aca="false">VLOOKUP(C161,Areas!$A$2:$E$32,3,FALSE())</f>
        <v>North</v>
      </c>
      <c r="E161" s="5" t="s">
        <v>139</v>
      </c>
      <c r="F161" s="5" t="s">
        <v>140</v>
      </c>
      <c r="G161" s="5" t="str">
        <f aca="false">IF(F161="Large","Matador","Scooter")</f>
        <v>Matador</v>
      </c>
      <c r="H161" s="5" t="n">
        <f aca="false">VLOOKUP(C161,Areas!$A$2:$E$32,4,FALSE())</f>
        <v>10.5</v>
      </c>
      <c r="I161" s="5" t="n">
        <f aca="false">2*H161</f>
        <v>21</v>
      </c>
      <c r="J161" s="14" t="n">
        <f aca="false">IF(G161="Matador",I161/Notes!$B$21*Notes!$B$22,I161/Notes!$B$23*Notes!$B$24)</f>
        <v>112.783125</v>
      </c>
      <c r="K161" s="12" t="n">
        <f aca="false">IF(B161&lt;=Notes!$B$26,A161,IF(WEEKDAY(A161)=7,A161+2,A161+1))</f>
        <v>45437</v>
      </c>
      <c r="L161" s="5" t="str">
        <f aca="false">IF(K161=A161,"Yes","No")</f>
        <v>No</v>
      </c>
      <c r="M161" s="5" t="str">
        <f aca="false">IF(E161="Express","No","Yes")</f>
        <v>No</v>
      </c>
      <c r="N161" s="5" t="n">
        <f aca="false">IF(M161="No",2*H161,0)</f>
        <v>21</v>
      </c>
      <c r="O161" s="14" t="n">
        <f aca="false">IF(N161=0,0,IF(G161="Matador",N161/Notes!$B$21*Notes!$B$22,N161/Notes!$B$23*Notes!$B$24))</f>
        <v>112.783125</v>
      </c>
    </row>
    <row r="162" customFormat="false" ht="15" hidden="false" customHeight="false" outlineLevel="0" collapsed="false">
      <c r="A162" s="12" t="n">
        <v>45436</v>
      </c>
      <c r="B162" s="13" t="n">
        <v>0.611111111111111</v>
      </c>
      <c r="C162" s="5" t="s">
        <v>71</v>
      </c>
      <c r="D162" s="5" t="str">
        <f aca="false">VLOOKUP(C162,Areas!$A$2:$E$32,3,FALSE())</f>
        <v>South</v>
      </c>
      <c r="E162" s="5" t="s">
        <v>139</v>
      </c>
      <c r="F162" s="5" t="s">
        <v>140</v>
      </c>
      <c r="G162" s="5" t="str">
        <f aca="false">IF(F162="Large","Matador","Scooter")</f>
        <v>Matador</v>
      </c>
      <c r="H162" s="5" t="n">
        <f aca="false">VLOOKUP(C162,Areas!$A$2:$E$32,4,FALSE())</f>
        <v>4.5</v>
      </c>
      <c r="I162" s="5" t="n">
        <f aca="false">2*H162</f>
        <v>9</v>
      </c>
      <c r="J162" s="14" t="n">
        <f aca="false">IF(G162="Matador",I162/Notes!$B$21*Notes!$B$22,I162/Notes!$B$23*Notes!$B$24)</f>
        <v>48.335625</v>
      </c>
      <c r="K162" s="12" t="n">
        <f aca="false">IF(B162&lt;=Notes!$B$26,A162,IF(WEEKDAY(A162)=7,A162+2,A162+1))</f>
        <v>45437</v>
      </c>
      <c r="L162" s="5" t="str">
        <f aca="false">IF(K162=A162,"Yes","No")</f>
        <v>No</v>
      </c>
      <c r="M162" s="5" t="str">
        <f aca="false">IF(E162="Express","No","Yes")</f>
        <v>No</v>
      </c>
      <c r="N162" s="5" t="n">
        <f aca="false">IF(M162="No",2*H162,0)</f>
        <v>9</v>
      </c>
      <c r="O162" s="14" t="n">
        <f aca="false">IF(N162=0,0,IF(G162="Matador",N162/Notes!$B$21*Notes!$B$22,N162/Notes!$B$23*Notes!$B$24))</f>
        <v>48.335625</v>
      </c>
    </row>
    <row r="163" customFormat="false" ht="15" hidden="false" customHeight="false" outlineLevel="0" collapsed="false">
      <c r="A163" s="12" t="n">
        <v>45436</v>
      </c>
      <c r="B163" s="13" t="n">
        <v>0.642361111111111</v>
      </c>
      <c r="C163" s="5" t="s">
        <v>71</v>
      </c>
      <c r="D163" s="5" t="str">
        <f aca="false">VLOOKUP(C163,Areas!$A$2:$E$32,3,FALSE())</f>
        <v>South</v>
      </c>
      <c r="E163" s="5" t="s">
        <v>139</v>
      </c>
      <c r="F163" s="5" t="s">
        <v>138</v>
      </c>
      <c r="G163" s="5" t="str">
        <f aca="false">IF(F163="Large","Matador","Scooter")</f>
        <v>Scooter</v>
      </c>
      <c r="H163" s="5" t="n">
        <f aca="false">VLOOKUP(C163,Areas!$A$2:$E$32,4,FALSE())</f>
        <v>4.5</v>
      </c>
      <c r="I163" s="5" t="n">
        <f aca="false">2*H163</f>
        <v>9</v>
      </c>
      <c r="J163" s="14" t="n">
        <f aca="false">IF(G163="Matador",I163/Notes!$B$21*Notes!$B$22,I163/Notes!$B$23*Notes!$B$24)</f>
        <v>19.968</v>
      </c>
      <c r="K163" s="12" t="n">
        <f aca="false">IF(B163&lt;=Notes!$B$26,A163,IF(WEEKDAY(A163)=7,A163+2,A163+1))</f>
        <v>45437</v>
      </c>
      <c r="L163" s="5" t="str">
        <f aca="false">IF(K163=A163,"Yes","No")</f>
        <v>No</v>
      </c>
      <c r="M163" s="5" t="str">
        <f aca="false">IF(E163="Express","No","Yes")</f>
        <v>No</v>
      </c>
      <c r="N163" s="5" t="n">
        <f aca="false">IF(M163="No",2*H163,0)</f>
        <v>9</v>
      </c>
      <c r="O163" s="14" t="n">
        <f aca="false">IF(N163=0,0,IF(G163="Matador",N163/Notes!$B$21*Notes!$B$22,N163/Notes!$B$23*Notes!$B$24))</f>
        <v>19.968</v>
      </c>
    </row>
    <row r="164" customFormat="false" ht="15" hidden="false" customHeight="false" outlineLevel="0" collapsed="false">
      <c r="A164" s="12" t="n">
        <v>45436</v>
      </c>
      <c r="B164" s="13" t="n">
        <v>0.645833333333333</v>
      </c>
      <c r="C164" s="5" t="s">
        <v>80</v>
      </c>
      <c r="D164" s="5" t="str">
        <f aca="false">VLOOKUP(C164,Areas!$A$2:$E$32,3,FALSE())</f>
        <v>South</v>
      </c>
      <c r="E164" s="5" t="s">
        <v>137</v>
      </c>
      <c r="F164" s="5" t="s">
        <v>140</v>
      </c>
      <c r="G164" s="5" t="str">
        <f aca="false">IF(F164="Large","Matador","Scooter")</f>
        <v>Matador</v>
      </c>
      <c r="H164" s="5" t="n">
        <f aca="false">VLOOKUP(C164,Areas!$A$2:$E$32,4,FALSE())</f>
        <v>9.5</v>
      </c>
      <c r="I164" s="5" t="n">
        <f aca="false">2*H164</f>
        <v>19</v>
      </c>
      <c r="J164" s="14" t="n">
        <f aca="false">IF(G164="Matador",I164/Notes!$B$21*Notes!$B$22,I164/Notes!$B$23*Notes!$B$24)</f>
        <v>102.041875</v>
      </c>
      <c r="K164" s="12" t="n">
        <f aca="false">IF(B164&lt;=Notes!$B$26,A164,IF(WEEKDAY(A164)=7,A164+2,A164+1))</f>
        <v>45437</v>
      </c>
      <c r="L164" s="5" t="str">
        <f aca="false">IF(K164=A164,"Yes","No")</f>
        <v>No</v>
      </c>
      <c r="M164" s="5" t="str">
        <f aca="false">IF(E164="Express","No","Yes")</f>
        <v>Yes</v>
      </c>
      <c r="N164" s="5" t="n">
        <f aca="false">IF(M164="No",2*H164,0)</f>
        <v>0</v>
      </c>
      <c r="O164" s="14" t="n">
        <f aca="false">IF(N164=0,0,IF(G164="Matador",N164/Notes!$B$21*Notes!$B$22,N164/Notes!$B$23*Notes!$B$24))</f>
        <v>0</v>
      </c>
    </row>
    <row r="165" customFormat="false" ht="15" hidden="false" customHeight="false" outlineLevel="0" collapsed="false">
      <c r="A165" s="12" t="n">
        <v>45436</v>
      </c>
      <c r="B165" s="13" t="n">
        <v>0.663194444444444</v>
      </c>
      <c r="C165" s="5" t="s">
        <v>74</v>
      </c>
      <c r="D165" s="5" t="str">
        <f aca="false">VLOOKUP(C165,Areas!$A$2:$E$32,3,FALSE())</f>
        <v>South</v>
      </c>
      <c r="E165" s="5" t="s">
        <v>137</v>
      </c>
      <c r="F165" s="5" t="s">
        <v>138</v>
      </c>
      <c r="G165" s="5" t="str">
        <f aca="false">IF(F165="Large","Matador","Scooter")</f>
        <v>Scooter</v>
      </c>
      <c r="H165" s="5" t="n">
        <f aca="false">VLOOKUP(C165,Areas!$A$2:$E$32,4,FALSE())</f>
        <v>2.5</v>
      </c>
      <c r="I165" s="5" t="n">
        <f aca="false">2*H165</f>
        <v>5</v>
      </c>
      <c r="J165" s="14" t="n">
        <f aca="false">IF(G165="Matador",I165/Notes!$B$21*Notes!$B$22,I165/Notes!$B$23*Notes!$B$24)</f>
        <v>11.0933333333333</v>
      </c>
      <c r="K165" s="12" t="n">
        <f aca="false">IF(B165&lt;=Notes!$B$26,A165,IF(WEEKDAY(A165)=7,A165+2,A165+1))</f>
        <v>45437</v>
      </c>
      <c r="L165" s="5" t="str">
        <f aca="false">IF(K165=A165,"Yes","No")</f>
        <v>No</v>
      </c>
      <c r="M165" s="5" t="str">
        <f aca="false">IF(E165="Express","No","Yes")</f>
        <v>Yes</v>
      </c>
      <c r="N165" s="5" t="n">
        <f aca="false">IF(M165="No",2*H165,0)</f>
        <v>0</v>
      </c>
      <c r="O165" s="14" t="n">
        <f aca="false">IF(N165=0,0,IF(G165="Matador",N165/Notes!$B$21*Notes!$B$22,N165/Notes!$B$23*Notes!$B$24))</f>
        <v>0</v>
      </c>
    </row>
    <row r="166" customFormat="false" ht="15" hidden="false" customHeight="false" outlineLevel="0" collapsed="false">
      <c r="A166" s="12" t="n">
        <v>45436</v>
      </c>
      <c r="B166" s="13" t="n">
        <v>0.763888888888889</v>
      </c>
      <c r="C166" s="5" t="s">
        <v>71</v>
      </c>
      <c r="D166" s="5" t="str">
        <f aca="false">VLOOKUP(C166,Areas!$A$2:$E$32,3,FALSE())</f>
        <v>South</v>
      </c>
      <c r="E166" s="5" t="s">
        <v>137</v>
      </c>
      <c r="F166" s="5" t="s">
        <v>140</v>
      </c>
      <c r="G166" s="5" t="str">
        <f aca="false">IF(F166="Large","Matador","Scooter")</f>
        <v>Matador</v>
      </c>
      <c r="H166" s="5" t="n">
        <f aca="false">VLOOKUP(C166,Areas!$A$2:$E$32,4,FALSE())</f>
        <v>4.5</v>
      </c>
      <c r="I166" s="5" t="n">
        <f aca="false">2*H166</f>
        <v>9</v>
      </c>
      <c r="J166" s="14" t="n">
        <f aca="false">IF(G166="Matador",I166/Notes!$B$21*Notes!$B$22,I166/Notes!$B$23*Notes!$B$24)</f>
        <v>48.335625</v>
      </c>
      <c r="K166" s="12" t="n">
        <f aca="false">IF(B166&lt;=Notes!$B$26,A166,IF(WEEKDAY(A166)=7,A166+2,A166+1))</f>
        <v>45437</v>
      </c>
      <c r="L166" s="5" t="str">
        <f aca="false">IF(K166=A166,"Yes","No")</f>
        <v>No</v>
      </c>
      <c r="M166" s="5" t="str">
        <f aca="false">IF(E166="Express","No","Yes")</f>
        <v>Yes</v>
      </c>
      <c r="N166" s="5" t="n">
        <f aca="false">IF(M166="No",2*H166,0)</f>
        <v>0</v>
      </c>
      <c r="O166" s="14" t="n">
        <f aca="false">IF(N166=0,0,IF(G166="Matador",N166/Notes!$B$21*Notes!$B$22,N166/Notes!$B$23*Notes!$B$24))</f>
        <v>0</v>
      </c>
    </row>
    <row r="167" customFormat="false" ht="15" hidden="false" customHeight="false" outlineLevel="0" collapsed="false">
      <c r="A167" s="12" t="n">
        <v>45437</v>
      </c>
      <c r="B167" s="13" t="n">
        <v>0.465277777777778</v>
      </c>
      <c r="C167" s="5" t="s">
        <v>80</v>
      </c>
      <c r="D167" s="5" t="str">
        <f aca="false">VLOOKUP(C167,Areas!$A$2:$E$32,3,FALSE())</f>
        <v>South</v>
      </c>
      <c r="E167" s="5" t="s">
        <v>137</v>
      </c>
      <c r="F167" s="5" t="s">
        <v>140</v>
      </c>
      <c r="G167" s="5" t="str">
        <f aca="false">IF(F167="Large","Matador","Scooter")</f>
        <v>Matador</v>
      </c>
      <c r="H167" s="5" t="n">
        <f aca="false">VLOOKUP(C167,Areas!$A$2:$E$32,4,FALSE())</f>
        <v>9.5</v>
      </c>
      <c r="I167" s="5" t="n">
        <f aca="false">2*H167</f>
        <v>19</v>
      </c>
      <c r="J167" s="14" t="n">
        <f aca="false">IF(G167="Matador",I167/Notes!$B$21*Notes!$B$22,I167/Notes!$B$23*Notes!$B$24)</f>
        <v>102.041875</v>
      </c>
      <c r="K167" s="12" t="n">
        <f aca="false">IF(B167&lt;=Notes!$B$26,A167,IF(WEEKDAY(A167)=7,A167+2,A167+1))</f>
        <v>45437</v>
      </c>
      <c r="L167" s="5" t="str">
        <f aca="false">IF(K167=A167,"Yes","No")</f>
        <v>Yes</v>
      </c>
      <c r="M167" s="5" t="str">
        <f aca="false">IF(E167="Express","No","Yes")</f>
        <v>Yes</v>
      </c>
      <c r="N167" s="5" t="n">
        <f aca="false">IF(M167="No",2*H167,0)</f>
        <v>0</v>
      </c>
      <c r="O167" s="14" t="n">
        <f aca="false">IF(N167=0,0,IF(G167="Matador",N167/Notes!$B$21*Notes!$B$22,N167/Notes!$B$23*Notes!$B$24))</f>
        <v>0</v>
      </c>
    </row>
    <row r="168" customFormat="false" ht="15" hidden="false" customHeight="false" outlineLevel="0" collapsed="false">
      <c r="A168" s="12" t="n">
        <v>45437</v>
      </c>
      <c r="B168" s="13" t="n">
        <v>0.534722222222222</v>
      </c>
      <c r="C168" s="5" t="s">
        <v>108</v>
      </c>
      <c r="D168" s="5" t="str">
        <f aca="false">VLOOKUP(C168,Areas!$A$2:$E$32,3,FALSE())</f>
        <v>North</v>
      </c>
      <c r="E168" s="5" t="s">
        <v>139</v>
      </c>
      <c r="F168" s="5" t="s">
        <v>138</v>
      </c>
      <c r="G168" s="5" t="str">
        <f aca="false">IF(F168="Large","Matador","Scooter")</f>
        <v>Scooter</v>
      </c>
      <c r="H168" s="5" t="n">
        <f aca="false">VLOOKUP(C168,Areas!$A$2:$E$32,4,FALSE())</f>
        <v>14.5</v>
      </c>
      <c r="I168" s="5" t="n">
        <f aca="false">2*H168</f>
        <v>29</v>
      </c>
      <c r="J168" s="14" t="n">
        <f aca="false">IF(G168="Matador",I168/Notes!$B$21*Notes!$B$22,I168/Notes!$B$23*Notes!$B$24)</f>
        <v>64.3413333333333</v>
      </c>
      <c r="K168" s="12" t="n">
        <f aca="false">IF(B168&lt;=Notes!$B$26,A168,IF(WEEKDAY(A168)=7,A168+2,A168+1))</f>
        <v>45437</v>
      </c>
      <c r="L168" s="5" t="str">
        <f aca="false">IF(K168=A168,"Yes","No")</f>
        <v>Yes</v>
      </c>
      <c r="M168" s="5" t="str">
        <f aca="false">IF(E168="Express","No","Yes")</f>
        <v>No</v>
      </c>
      <c r="N168" s="5" t="n">
        <f aca="false">IF(M168="No",2*H168,0)</f>
        <v>29</v>
      </c>
      <c r="O168" s="14" t="n">
        <f aca="false">IF(N168=0,0,IF(G168="Matador",N168/Notes!$B$21*Notes!$B$22,N168/Notes!$B$23*Notes!$B$24))</f>
        <v>64.3413333333333</v>
      </c>
    </row>
    <row r="169" customFormat="false" ht="15" hidden="false" customHeight="false" outlineLevel="0" collapsed="false">
      <c r="A169" s="12" t="n">
        <v>45437</v>
      </c>
      <c r="B169" s="13" t="n">
        <v>0.548611111111111</v>
      </c>
      <c r="C169" s="5" t="s">
        <v>71</v>
      </c>
      <c r="D169" s="5" t="str">
        <f aca="false">VLOOKUP(C169,Areas!$A$2:$E$32,3,FALSE())</f>
        <v>South</v>
      </c>
      <c r="E169" s="5" t="s">
        <v>139</v>
      </c>
      <c r="F169" s="5" t="s">
        <v>138</v>
      </c>
      <c r="G169" s="5" t="str">
        <f aca="false">IF(F169="Large","Matador","Scooter")</f>
        <v>Scooter</v>
      </c>
      <c r="H169" s="5" t="n">
        <f aca="false">VLOOKUP(C169,Areas!$A$2:$E$32,4,FALSE())</f>
        <v>4.5</v>
      </c>
      <c r="I169" s="5" t="n">
        <f aca="false">2*H169</f>
        <v>9</v>
      </c>
      <c r="J169" s="14" t="n">
        <f aca="false">IF(G169="Matador",I169/Notes!$B$21*Notes!$B$22,I169/Notes!$B$23*Notes!$B$24)</f>
        <v>19.968</v>
      </c>
      <c r="K169" s="12" t="n">
        <f aca="false">IF(B169&lt;=Notes!$B$26,A169,IF(WEEKDAY(A169)=7,A169+2,A169+1))</f>
        <v>45439</v>
      </c>
      <c r="L169" s="5" t="str">
        <f aca="false">IF(K169=A169,"Yes","No")</f>
        <v>No</v>
      </c>
      <c r="M169" s="5" t="str">
        <f aca="false">IF(E169="Express","No","Yes")</f>
        <v>No</v>
      </c>
      <c r="N169" s="5" t="n">
        <f aca="false">IF(M169="No",2*H169,0)</f>
        <v>9</v>
      </c>
      <c r="O169" s="14" t="n">
        <f aca="false">IF(N169=0,0,IF(G169="Matador",N169/Notes!$B$21*Notes!$B$22,N169/Notes!$B$23*Notes!$B$24))</f>
        <v>19.968</v>
      </c>
    </row>
    <row r="170" customFormat="false" ht="15" hidden="false" customHeight="false" outlineLevel="0" collapsed="false">
      <c r="A170" s="12" t="n">
        <v>45437</v>
      </c>
      <c r="B170" s="13" t="n">
        <v>0.586805555555556</v>
      </c>
      <c r="C170" s="5" t="s">
        <v>93</v>
      </c>
      <c r="D170" s="5" t="str">
        <f aca="false">VLOOKUP(C170,Areas!$A$2:$E$32,3,FALSE())</f>
        <v>West</v>
      </c>
      <c r="E170" s="5" t="s">
        <v>139</v>
      </c>
      <c r="F170" s="5" t="s">
        <v>138</v>
      </c>
      <c r="G170" s="5" t="str">
        <f aca="false">IF(F170="Large","Matador","Scooter")</f>
        <v>Scooter</v>
      </c>
      <c r="H170" s="5" t="n">
        <f aca="false">VLOOKUP(C170,Areas!$A$2:$E$32,4,FALSE())</f>
        <v>6.5</v>
      </c>
      <c r="I170" s="5" t="n">
        <f aca="false">2*H170</f>
        <v>13</v>
      </c>
      <c r="J170" s="14" t="n">
        <f aca="false">IF(G170="Matador",I170/Notes!$B$21*Notes!$B$22,I170/Notes!$B$23*Notes!$B$24)</f>
        <v>28.8426666666667</v>
      </c>
      <c r="K170" s="12" t="n">
        <f aca="false">IF(B170&lt;=Notes!$B$26,A170,IF(WEEKDAY(A170)=7,A170+2,A170+1))</f>
        <v>45439</v>
      </c>
      <c r="L170" s="5" t="str">
        <f aca="false">IF(K170=A170,"Yes","No")</f>
        <v>No</v>
      </c>
      <c r="M170" s="5" t="str">
        <f aca="false">IF(E170="Express","No","Yes")</f>
        <v>No</v>
      </c>
      <c r="N170" s="5" t="n">
        <f aca="false">IF(M170="No",2*H170,0)</f>
        <v>13</v>
      </c>
      <c r="O170" s="14" t="n">
        <f aca="false">IF(N170=0,0,IF(G170="Matador",N170/Notes!$B$21*Notes!$B$22,N170/Notes!$B$23*Notes!$B$24))</f>
        <v>28.8426666666667</v>
      </c>
    </row>
    <row r="171" customFormat="false" ht="15" hidden="false" customHeight="false" outlineLevel="0" collapsed="false">
      <c r="A171" s="12" t="n">
        <v>45437</v>
      </c>
      <c r="B171" s="13" t="n">
        <v>0.697916666666667</v>
      </c>
      <c r="C171" s="5" t="s">
        <v>74</v>
      </c>
      <c r="D171" s="5" t="str">
        <f aca="false">VLOOKUP(C171,Areas!$A$2:$E$32,3,FALSE())</f>
        <v>South</v>
      </c>
      <c r="E171" s="5" t="s">
        <v>139</v>
      </c>
      <c r="F171" s="5" t="s">
        <v>140</v>
      </c>
      <c r="G171" s="5" t="str">
        <f aca="false">IF(F171="Large","Matador","Scooter")</f>
        <v>Matador</v>
      </c>
      <c r="H171" s="5" t="n">
        <f aca="false">VLOOKUP(C171,Areas!$A$2:$E$32,4,FALSE())</f>
        <v>2.5</v>
      </c>
      <c r="I171" s="5" t="n">
        <f aca="false">2*H171</f>
        <v>5</v>
      </c>
      <c r="J171" s="14" t="n">
        <f aca="false">IF(G171="Matador",I171/Notes!$B$21*Notes!$B$22,I171/Notes!$B$23*Notes!$B$24)</f>
        <v>26.853125</v>
      </c>
      <c r="K171" s="12" t="n">
        <f aca="false">IF(B171&lt;=Notes!$B$26,A171,IF(WEEKDAY(A171)=7,A171+2,A171+1))</f>
        <v>45439</v>
      </c>
      <c r="L171" s="5" t="str">
        <f aca="false">IF(K171=A171,"Yes","No")</f>
        <v>No</v>
      </c>
      <c r="M171" s="5" t="str">
        <f aca="false">IF(E171="Express","No","Yes")</f>
        <v>No</v>
      </c>
      <c r="N171" s="5" t="n">
        <f aca="false">IF(M171="No",2*H171,0)</f>
        <v>5</v>
      </c>
      <c r="O171" s="14" t="n">
        <f aca="false">IF(N171=0,0,IF(G171="Matador",N171/Notes!$B$21*Notes!$B$22,N171/Notes!$B$23*Notes!$B$24))</f>
        <v>26.853125</v>
      </c>
    </row>
    <row r="172" customFormat="false" ht="15" hidden="false" customHeight="false" outlineLevel="0" collapsed="false">
      <c r="A172" s="12" t="n">
        <v>45439</v>
      </c>
      <c r="B172" s="13" t="n">
        <v>0.413194444444444</v>
      </c>
      <c r="C172" s="5" t="s">
        <v>74</v>
      </c>
      <c r="D172" s="5" t="str">
        <f aca="false">VLOOKUP(C172,Areas!$A$2:$E$32,3,FALSE())</f>
        <v>South</v>
      </c>
      <c r="E172" s="5" t="s">
        <v>139</v>
      </c>
      <c r="F172" s="5" t="s">
        <v>138</v>
      </c>
      <c r="G172" s="5" t="str">
        <f aca="false">IF(F172="Large","Matador","Scooter")</f>
        <v>Scooter</v>
      </c>
      <c r="H172" s="5" t="n">
        <f aca="false">VLOOKUP(C172,Areas!$A$2:$E$32,4,FALSE())</f>
        <v>2.5</v>
      </c>
      <c r="I172" s="5" t="n">
        <f aca="false">2*H172</f>
        <v>5</v>
      </c>
      <c r="J172" s="14" t="n">
        <f aca="false">IF(G172="Matador",I172/Notes!$B$21*Notes!$B$22,I172/Notes!$B$23*Notes!$B$24)</f>
        <v>11.0933333333333</v>
      </c>
      <c r="K172" s="12" t="n">
        <f aca="false">IF(B172&lt;=Notes!$B$26,A172,IF(WEEKDAY(A172)=7,A172+2,A172+1))</f>
        <v>45439</v>
      </c>
      <c r="L172" s="5" t="str">
        <f aca="false">IF(K172=A172,"Yes","No")</f>
        <v>Yes</v>
      </c>
      <c r="M172" s="5" t="str">
        <f aca="false">IF(E172="Express","No","Yes")</f>
        <v>No</v>
      </c>
      <c r="N172" s="5" t="n">
        <f aca="false">IF(M172="No",2*H172,0)</f>
        <v>5</v>
      </c>
      <c r="O172" s="14" t="n">
        <f aca="false">IF(N172=0,0,IF(G172="Matador",N172/Notes!$B$21*Notes!$B$22,N172/Notes!$B$23*Notes!$B$24))</f>
        <v>11.0933333333333</v>
      </c>
    </row>
    <row r="173" customFormat="false" ht="15" hidden="false" customHeight="false" outlineLevel="0" collapsed="false">
      <c r="A173" s="12" t="n">
        <v>45439</v>
      </c>
      <c r="B173" s="13" t="n">
        <v>0.451388888888889</v>
      </c>
      <c r="C173" s="5" t="s">
        <v>99</v>
      </c>
      <c r="D173" s="5" t="str">
        <f aca="false">VLOOKUP(C173,Areas!$A$2:$E$32,3,FALSE())</f>
        <v>North</v>
      </c>
      <c r="E173" s="5" t="s">
        <v>137</v>
      </c>
      <c r="F173" s="5" t="s">
        <v>138</v>
      </c>
      <c r="G173" s="5" t="str">
        <f aca="false">IF(F173="Large","Matador","Scooter")</f>
        <v>Scooter</v>
      </c>
      <c r="H173" s="5" t="n">
        <f aca="false">VLOOKUP(C173,Areas!$A$2:$E$32,4,FALSE())</f>
        <v>6.5</v>
      </c>
      <c r="I173" s="5" t="n">
        <f aca="false">2*H173</f>
        <v>13</v>
      </c>
      <c r="J173" s="14" t="n">
        <f aca="false">IF(G173="Matador",I173/Notes!$B$21*Notes!$B$22,I173/Notes!$B$23*Notes!$B$24)</f>
        <v>28.8426666666667</v>
      </c>
      <c r="K173" s="12" t="n">
        <f aca="false">IF(B173&lt;=Notes!$B$26,A173,IF(WEEKDAY(A173)=7,A173+2,A173+1))</f>
        <v>45439</v>
      </c>
      <c r="L173" s="5" t="str">
        <f aca="false">IF(K173=A173,"Yes","No")</f>
        <v>Yes</v>
      </c>
      <c r="M173" s="5" t="str">
        <f aca="false">IF(E173="Express","No","Yes")</f>
        <v>Yes</v>
      </c>
      <c r="N173" s="5" t="n">
        <f aca="false">IF(M173="No",2*H173,0)</f>
        <v>0</v>
      </c>
      <c r="O173" s="14" t="n">
        <f aca="false">IF(N173=0,0,IF(G173="Matador",N173/Notes!$B$21*Notes!$B$22,N173/Notes!$B$23*Notes!$B$24))</f>
        <v>0</v>
      </c>
    </row>
    <row r="174" customFormat="false" ht="15" hidden="false" customHeight="false" outlineLevel="0" collapsed="false">
      <c r="A174" s="12" t="n">
        <v>45439</v>
      </c>
      <c r="B174" s="13" t="n">
        <v>0.569444444444444</v>
      </c>
      <c r="C174" s="5" t="s">
        <v>69</v>
      </c>
      <c r="D174" s="5" t="str">
        <f aca="false">VLOOKUP(C174,Areas!$A$2:$E$32,3,FALSE())</f>
        <v>Central</v>
      </c>
      <c r="E174" s="5" t="s">
        <v>139</v>
      </c>
      <c r="F174" s="5" t="s">
        <v>140</v>
      </c>
      <c r="G174" s="5" t="str">
        <f aca="false">IF(F174="Large","Matador","Scooter")</f>
        <v>Matador</v>
      </c>
      <c r="H174" s="5" t="n">
        <f aca="false">VLOOKUP(C174,Areas!$A$2:$E$32,4,FALSE())</f>
        <v>4.5</v>
      </c>
      <c r="I174" s="5" t="n">
        <f aca="false">2*H174</f>
        <v>9</v>
      </c>
      <c r="J174" s="14" t="n">
        <f aca="false">IF(G174="Matador",I174/Notes!$B$21*Notes!$B$22,I174/Notes!$B$23*Notes!$B$24)</f>
        <v>48.335625</v>
      </c>
      <c r="K174" s="12" t="n">
        <f aca="false">IF(B174&lt;=Notes!$B$26,A174,IF(WEEKDAY(A174)=7,A174+2,A174+1))</f>
        <v>45440</v>
      </c>
      <c r="L174" s="5" t="str">
        <f aca="false">IF(K174=A174,"Yes","No")</f>
        <v>No</v>
      </c>
      <c r="M174" s="5" t="str">
        <f aca="false">IF(E174="Express","No","Yes")</f>
        <v>No</v>
      </c>
      <c r="N174" s="5" t="n">
        <f aca="false">IF(M174="No",2*H174,0)</f>
        <v>9</v>
      </c>
      <c r="O174" s="14" t="n">
        <f aca="false">IF(N174=0,0,IF(G174="Matador",N174/Notes!$B$21*Notes!$B$22,N174/Notes!$B$23*Notes!$B$24))</f>
        <v>48.335625</v>
      </c>
    </row>
    <row r="175" customFormat="false" ht="15" hidden="false" customHeight="false" outlineLevel="0" collapsed="false">
      <c r="A175" s="12" t="n">
        <v>45439</v>
      </c>
      <c r="B175" s="13" t="n">
        <v>0.607638888888889</v>
      </c>
      <c r="C175" s="5" t="s">
        <v>58</v>
      </c>
      <c r="D175" s="5" t="str">
        <f aca="false">VLOOKUP(C175,Areas!$A$2:$E$32,3,FALSE())</f>
        <v>Central</v>
      </c>
      <c r="E175" s="5" t="s">
        <v>137</v>
      </c>
      <c r="F175" s="5" t="s">
        <v>140</v>
      </c>
      <c r="G175" s="5" t="str">
        <f aca="false">IF(F175="Large","Matador","Scooter")</f>
        <v>Matador</v>
      </c>
      <c r="H175" s="5" t="n">
        <f aca="false">VLOOKUP(C175,Areas!$A$2:$E$32,4,FALSE())</f>
        <v>2</v>
      </c>
      <c r="I175" s="5" t="n">
        <f aca="false">2*H175</f>
        <v>4</v>
      </c>
      <c r="J175" s="14" t="n">
        <f aca="false">IF(G175="Matador",I175/Notes!$B$21*Notes!$B$22,I175/Notes!$B$23*Notes!$B$24)</f>
        <v>21.4825</v>
      </c>
      <c r="K175" s="12" t="n">
        <f aca="false">IF(B175&lt;=Notes!$B$26,A175,IF(WEEKDAY(A175)=7,A175+2,A175+1))</f>
        <v>45440</v>
      </c>
      <c r="L175" s="5" t="str">
        <f aca="false">IF(K175=A175,"Yes","No")</f>
        <v>No</v>
      </c>
      <c r="M175" s="5" t="str">
        <f aca="false">IF(E175="Express","No","Yes")</f>
        <v>Yes</v>
      </c>
      <c r="N175" s="5" t="n">
        <f aca="false">IF(M175="No",2*H175,0)</f>
        <v>0</v>
      </c>
      <c r="O175" s="14" t="n">
        <f aca="false">IF(N175=0,0,IF(G175="Matador",N175/Notes!$B$21*Notes!$B$22,N175/Notes!$B$23*Notes!$B$24))</f>
        <v>0</v>
      </c>
    </row>
    <row r="176" customFormat="false" ht="15" hidden="false" customHeight="false" outlineLevel="0" collapsed="false">
      <c r="A176" s="12" t="n">
        <v>45439</v>
      </c>
      <c r="B176" s="13" t="n">
        <v>0.618055555555556</v>
      </c>
      <c r="C176" s="5" t="s">
        <v>99</v>
      </c>
      <c r="D176" s="5" t="str">
        <f aca="false">VLOOKUP(C176,Areas!$A$2:$E$32,3,FALSE())</f>
        <v>North</v>
      </c>
      <c r="E176" s="5" t="s">
        <v>137</v>
      </c>
      <c r="F176" s="5" t="s">
        <v>138</v>
      </c>
      <c r="G176" s="5" t="str">
        <f aca="false">IF(F176="Large","Matador","Scooter")</f>
        <v>Scooter</v>
      </c>
      <c r="H176" s="5" t="n">
        <f aca="false">VLOOKUP(C176,Areas!$A$2:$E$32,4,FALSE())</f>
        <v>6.5</v>
      </c>
      <c r="I176" s="5" t="n">
        <f aca="false">2*H176</f>
        <v>13</v>
      </c>
      <c r="J176" s="14" t="n">
        <f aca="false">IF(G176="Matador",I176/Notes!$B$21*Notes!$B$22,I176/Notes!$B$23*Notes!$B$24)</f>
        <v>28.8426666666667</v>
      </c>
      <c r="K176" s="12" t="n">
        <f aca="false">IF(B176&lt;=Notes!$B$26,A176,IF(WEEKDAY(A176)=7,A176+2,A176+1))</f>
        <v>45440</v>
      </c>
      <c r="L176" s="5" t="str">
        <f aca="false">IF(K176=A176,"Yes","No")</f>
        <v>No</v>
      </c>
      <c r="M176" s="5" t="str">
        <f aca="false">IF(E176="Express","No","Yes")</f>
        <v>Yes</v>
      </c>
      <c r="N176" s="5" t="n">
        <f aca="false">IF(M176="No",2*H176,0)</f>
        <v>0</v>
      </c>
      <c r="O176" s="14" t="n">
        <f aca="false">IF(N176=0,0,IF(G176="Matador",N176/Notes!$B$21*Notes!$B$22,N176/Notes!$B$23*Notes!$B$24))</f>
        <v>0</v>
      </c>
    </row>
    <row r="177" customFormat="false" ht="15" hidden="false" customHeight="false" outlineLevel="0" collapsed="false">
      <c r="A177" s="12" t="n">
        <v>45439</v>
      </c>
      <c r="B177" s="13" t="n">
        <v>0.618055555555556</v>
      </c>
      <c r="C177" s="5" t="s">
        <v>74</v>
      </c>
      <c r="D177" s="5" t="str">
        <f aca="false">VLOOKUP(C177,Areas!$A$2:$E$32,3,FALSE())</f>
        <v>South</v>
      </c>
      <c r="E177" s="5" t="s">
        <v>139</v>
      </c>
      <c r="F177" s="5" t="s">
        <v>140</v>
      </c>
      <c r="G177" s="5" t="str">
        <f aca="false">IF(F177="Large","Matador","Scooter")</f>
        <v>Matador</v>
      </c>
      <c r="H177" s="5" t="n">
        <f aca="false">VLOOKUP(C177,Areas!$A$2:$E$32,4,FALSE())</f>
        <v>2.5</v>
      </c>
      <c r="I177" s="5" t="n">
        <f aca="false">2*H177</f>
        <v>5</v>
      </c>
      <c r="J177" s="14" t="n">
        <f aca="false">IF(G177="Matador",I177/Notes!$B$21*Notes!$B$22,I177/Notes!$B$23*Notes!$B$24)</f>
        <v>26.853125</v>
      </c>
      <c r="K177" s="12" t="n">
        <f aca="false">IF(B177&lt;=Notes!$B$26,A177,IF(WEEKDAY(A177)=7,A177+2,A177+1))</f>
        <v>45440</v>
      </c>
      <c r="L177" s="5" t="str">
        <f aca="false">IF(K177=A177,"Yes","No")</f>
        <v>No</v>
      </c>
      <c r="M177" s="5" t="str">
        <f aca="false">IF(E177="Express","No","Yes")</f>
        <v>No</v>
      </c>
      <c r="N177" s="5" t="n">
        <f aca="false">IF(M177="No",2*H177,0)</f>
        <v>5</v>
      </c>
      <c r="O177" s="14" t="n">
        <f aca="false">IF(N177=0,0,IF(G177="Matador",N177/Notes!$B$21*Notes!$B$22,N177/Notes!$B$23*Notes!$B$24))</f>
        <v>26.853125</v>
      </c>
    </row>
    <row r="178" customFormat="false" ht="15" hidden="false" customHeight="false" outlineLevel="0" collapsed="false">
      <c r="A178" s="12" t="n">
        <v>45439</v>
      </c>
      <c r="B178" s="13" t="n">
        <v>0.659722222222222</v>
      </c>
      <c r="C178" s="5" t="s">
        <v>69</v>
      </c>
      <c r="D178" s="5" t="str">
        <f aca="false">VLOOKUP(C178,Areas!$A$2:$E$32,3,FALSE())</f>
        <v>Central</v>
      </c>
      <c r="E178" s="5" t="s">
        <v>137</v>
      </c>
      <c r="F178" s="5" t="s">
        <v>140</v>
      </c>
      <c r="G178" s="5" t="str">
        <f aca="false">IF(F178="Large","Matador","Scooter")</f>
        <v>Matador</v>
      </c>
      <c r="H178" s="5" t="n">
        <f aca="false">VLOOKUP(C178,Areas!$A$2:$E$32,4,FALSE())</f>
        <v>4.5</v>
      </c>
      <c r="I178" s="5" t="n">
        <f aca="false">2*H178</f>
        <v>9</v>
      </c>
      <c r="J178" s="14" t="n">
        <f aca="false">IF(G178="Matador",I178/Notes!$B$21*Notes!$B$22,I178/Notes!$B$23*Notes!$B$24)</f>
        <v>48.335625</v>
      </c>
      <c r="K178" s="12" t="n">
        <f aca="false">IF(B178&lt;=Notes!$B$26,A178,IF(WEEKDAY(A178)=7,A178+2,A178+1))</f>
        <v>45440</v>
      </c>
      <c r="L178" s="5" t="str">
        <f aca="false">IF(K178=A178,"Yes","No")</f>
        <v>No</v>
      </c>
      <c r="M178" s="5" t="str">
        <f aca="false">IF(E178="Express","No","Yes")</f>
        <v>Yes</v>
      </c>
      <c r="N178" s="5" t="n">
        <f aca="false">IF(M178="No",2*H178,0)</f>
        <v>0</v>
      </c>
      <c r="O178" s="14" t="n">
        <f aca="false">IF(N178=0,0,IF(G178="Matador",N178/Notes!$B$21*Notes!$B$22,N178/Notes!$B$23*Notes!$B$24))</f>
        <v>0</v>
      </c>
    </row>
    <row r="179" customFormat="false" ht="15" hidden="false" customHeight="false" outlineLevel="0" collapsed="false">
      <c r="A179" s="12" t="n">
        <v>45439</v>
      </c>
      <c r="B179" s="13" t="n">
        <v>0.666666666666667</v>
      </c>
      <c r="C179" s="5" t="s">
        <v>110</v>
      </c>
      <c r="D179" s="5" t="str">
        <f aca="false">VLOOKUP(C179,Areas!$A$2:$E$32,3,FALSE())</f>
        <v>North</v>
      </c>
      <c r="E179" s="5" t="s">
        <v>139</v>
      </c>
      <c r="F179" s="5" t="s">
        <v>138</v>
      </c>
      <c r="G179" s="5" t="str">
        <f aca="false">IF(F179="Large","Matador","Scooter")</f>
        <v>Scooter</v>
      </c>
      <c r="H179" s="5" t="n">
        <f aca="false">VLOOKUP(C179,Areas!$A$2:$E$32,4,FALSE())</f>
        <v>19</v>
      </c>
      <c r="I179" s="5" t="n">
        <f aca="false">2*H179</f>
        <v>38</v>
      </c>
      <c r="J179" s="14" t="n">
        <f aca="false">IF(G179="Matador",I179/Notes!$B$21*Notes!$B$22,I179/Notes!$B$23*Notes!$B$24)</f>
        <v>84.3093333333333</v>
      </c>
      <c r="K179" s="12" t="n">
        <f aca="false">IF(B179&lt;=Notes!$B$26,A179,IF(WEEKDAY(A179)=7,A179+2,A179+1))</f>
        <v>45440</v>
      </c>
      <c r="L179" s="5" t="str">
        <f aca="false">IF(K179=A179,"Yes","No")</f>
        <v>No</v>
      </c>
      <c r="M179" s="5" t="str">
        <f aca="false">IF(E179="Express","No","Yes")</f>
        <v>No</v>
      </c>
      <c r="N179" s="5" t="n">
        <f aca="false">IF(M179="No",2*H179,0)</f>
        <v>38</v>
      </c>
      <c r="O179" s="14" t="n">
        <f aca="false">IF(N179=0,0,IF(G179="Matador",N179/Notes!$B$21*Notes!$B$22,N179/Notes!$B$23*Notes!$B$24))</f>
        <v>84.3093333333333</v>
      </c>
    </row>
    <row r="180" customFormat="false" ht="15" hidden="false" customHeight="false" outlineLevel="0" collapsed="false">
      <c r="A180" s="12" t="n">
        <v>45439</v>
      </c>
      <c r="B180" s="13" t="n">
        <v>0.670138888888889</v>
      </c>
      <c r="C180" s="5" t="s">
        <v>97</v>
      </c>
      <c r="D180" s="5" t="str">
        <f aca="false">VLOOKUP(C180,Areas!$A$2:$E$32,3,FALSE())</f>
        <v>West</v>
      </c>
      <c r="E180" s="5" t="s">
        <v>137</v>
      </c>
      <c r="F180" s="5" t="s">
        <v>140</v>
      </c>
      <c r="G180" s="5" t="str">
        <f aca="false">IF(F180="Large","Matador","Scooter")</f>
        <v>Matador</v>
      </c>
      <c r="H180" s="5" t="n">
        <f aca="false">VLOOKUP(C180,Areas!$A$2:$E$32,4,FALSE())</f>
        <v>13.5</v>
      </c>
      <c r="I180" s="5" t="n">
        <f aca="false">2*H180</f>
        <v>27</v>
      </c>
      <c r="J180" s="14" t="n">
        <f aca="false">IF(G180="Matador",I180/Notes!$B$21*Notes!$B$22,I180/Notes!$B$23*Notes!$B$24)</f>
        <v>145.006875</v>
      </c>
      <c r="K180" s="12" t="n">
        <f aca="false">IF(B180&lt;=Notes!$B$26,A180,IF(WEEKDAY(A180)=7,A180+2,A180+1))</f>
        <v>45440</v>
      </c>
      <c r="L180" s="5" t="str">
        <f aca="false">IF(K180=A180,"Yes","No")</f>
        <v>No</v>
      </c>
      <c r="M180" s="5" t="str">
        <f aca="false">IF(E180="Express","No","Yes")</f>
        <v>Yes</v>
      </c>
      <c r="N180" s="5" t="n">
        <f aca="false">IF(M180="No",2*H180,0)</f>
        <v>0</v>
      </c>
      <c r="O180" s="14" t="n">
        <f aca="false">IF(N180=0,0,IF(G180="Matador",N180/Notes!$B$21*Notes!$B$22,N180/Notes!$B$23*Notes!$B$24))</f>
        <v>0</v>
      </c>
    </row>
    <row r="181" customFormat="false" ht="15" hidden="false" customHeight="false" outlineLevel="0" collapsed="false">
      <c r="A181" s="12" t="n">
        <v>45439</v>
      </c>
      <c r="B181" s="13" t="n">
        <v>0.711805555555556</v>
      </c>
      <c r="C181" s="5" t="s">
        <v>93</v>
      </c>
      <c r="D181" s="5" t="str">
        <f aca="false">VLOOKUP(C181,Areas!$A$2:$E$32,3,FALSE())</f>
        <v>West</v>
      </c>
      <c r="E181" s="5" t="s">
        <v>139</v>
      </c>
      <c r="F181" s="5" t="s">
        <v>140</v>
      </c>
      <c r="G181" s="5" t="str">
        <f aca="false">IF(F181="Large","Matador","Scooter")</f>
        <v>Matador</v>
      </c>
      <c r="H181" s="5" t="n">
        <f aca="false">VLOOKUP(C181,Areas!$A$2:$E$32,4,FALSE())</f>
        <v>6.5</v>
      </c>
      <c r="I181" s="5" t="n">
        <f aca="false">2*H181</f>
        <v>13</v>
      </c>
      <c r="J181" s="14" t="n">
        <f aca="false">IF(G181="Matador",I181/Notes!$B$21*Notes!$B$22,I181/Notes!$B$23*Notes!$B$24)</f>
        <v>69.818125</v>
      </c>
      <c r="K181" s="12" t="n">
        <f aca="false">IF(B181&lt;=Notes!$B$26,A181,IF(WEEKDAY(A181)=7,A181+2,A181+1))</f>
        <v>45440</v>
      </c>
      <c r="L181" s="5" t="str">
        <f aca="false">IF(K181=A181,"Yes","No")</f>
        <v>No</v>
      </c>
      <c r="M181" s="5" t="str">
        <f aca="false">IF(E181="Express","No","Yes")</f>
        <v>No</v>
      </c>
      <c r="N181" s="5" t="n">
        <f aca="false">IF(M181="No",2*H181,0)</f>
        <v>13</v>
      </c>
      <c r="O181" s="14" t="n">
        <f aca="false">IF(N181=0,0,IF(G181="Matador",N181/Notes!$B$21*Notes!$B$22,N181/Notes!$B$23*Notes!$B$24))</f>
        <v>69.818125</v>
      </c>
    </row>
    <row r="182" customFormat="false" ht="15" hidden="false" customHeight="false" outlineLevel="0" collapsed="false">
      <c r="A182" s="12" t="n">
        <v>45439</v>
      </c>
      <c r="B182" s="13" t="n">
        <v>0.75</v>
      </c>
      <c r="C182" s="5" t="s">
        <v>62</v>
      </c>
      <c r="D182" s="5" t="str">
        <f aca="false">VLOOKUP(C182,Areas!$A$2:$E$32,3,FALSE())</f>
        <v>Central</v>
      </c>
      <c r="E182" s="5" t="s">
        <v>137</v>
      </c>
      <c r="F182" s="5" t="s">
        <v>138</v>
      </c>
      <c r="G182" s="5" t="str">
        <f aca="false">IF(F182="Large","Matador","Scooter")</f>
        <v>Scooter</v>
      </c>
      <c r="H182" s="5" t="n">
        <f aca="false">VLOOKUP(C182,Areas!$A$2:$E$32,4,FALSE())</f>
        <v>3.5</v>
      </c>
      <c r="I182" s="5" t="n">
        <f aca="false">2*H182</f>
        <v>7</v>
      </c>
      <c r="J182" s="14" t="n">
        <f aca="false">IF(G182="Matador",I182/Notes!$B$21*Notes!$B$22,I182/Notes!$B$23*Notes!$B$24)</f>
        <v>15.5306666666667</v>
      </c>
      <c r="K182" s="12" t="n">
        <f aca="false">IF(B182&lt;=Notes!$B$26,A182,IF(WEEKDAY(A182)=7,A182+2,A182+1))</f>
        <v>45440</v>
      </c>
      <c r="L182" s="5" t="str">
        <f aca="false">IF(K182=A182,"Yes","No")</f>
        <v>No</v>
      </c>
      <c r="M182" s="5" t="str">
        <f aca="false">IF(E182="Express","No","Yes")</f>
        <v>Yes</v>
      </c>
      <c r="N182" s="5" t="n">
        <f aca="false">IF(M182="No",2*H182,0)</f>
        <v>0</v>
      </c>
      <c r="O182" s="14" t="n">
        <f aca="false">IF(N182=0,0,IF(G182="Matador",N182/Notes!$B$21*Notes!$B$22,N182/Notes!$B$23*Notes!$B$24))</f>
        <v>0</v>
      </c>
    </row>
    <row r="183" customFormat="false" ht="15" hidden="false" customHeight="false" outlineLevel="0" collapsed="false">
      <c r="A183" s="12" t="n">
        <v>45440</v>
      </c>
      <c r="B183" s="13" t="n">
        <v>0.447916666666667</v>
      </c>
      <c r="C183" s="5" t="s">
        <v>88</v>
      </c>
      <c r="D183" s="5" t="str">
        <f aca="false">VLOOKUP(C183,Areas!$A$2:$E$32,3,FALSE())</f>
        <v>West</v>
      </c>
      <c r="E183" s="5" t="s">
        <v>137</v>
      </c>
      <c r="F183" s="5" t="s">
        <v>138</v>
      </c>
      <c r="G183" s="5" t="str">
        <f aca="false">IF(F183="Large","Matador","Scooter")</f>
        <v>Scooter</v>
      </c>
      <c r="H183" s="5" t="n">
        <f aca="false">VLOOKUP(C183,Areas!$A$2:$E$32,4,FALSE())</f>
        <v>5.5</v>
      </c>
      <c r="I183" s="5" t="n">
        <f aca="false">2*H183</f>
        <v>11</v>
      </c>
      <c r="J183" s="14" t="n">
        <f aca="false">IF(G183="Matador",I183/Notes!$B$21*Notes!$B$22,I183/Notes!$B$23*Notes!$B$24)</f>
        <v>24.4053333333333</v>
      </c>
      <c r="K183" s="12" t="n">
        <f aca="false">IF(B183&lt;=Notes!$B$26,A183,IF(WEEKDAY(A183)=7,A183+2,A183+1))</f>
        <v>45440</v>
      </c>
      <c r="L183" s="5" t="str">
        <f aca="false">IF(K183=A183,"Yes","No")</f>
        <v>Yes</v>
      </c>
      <c r="M183" s="5" t="str">
        <f aca="false">IF(E183="Express","No","Yes")</f>
        <v>Yes</v>
      </c>
      <c r="N183" s="5" t="n">
        <f aca="false">IF(M183="No",2*H183,0)</f>
        <v>0</v>
      </c>
      <c r="O183" s="14" t="n">
        <f aca="false">IF(N183=0,0,IF(G183="Matador",N183/Notes!$B$21*Notes!$B$22,N183/Notes!$B$23*Notes!$B$24))</f>
        <v>0</v>
      </c>
    </row>
    <row r="184" customFormat="false" ht="15" hidden="false" customHeight="false" outlineLevel="0" collapsed="false">
      <c r="A184" s="12" t="n">
        <v>45440</v>
      </c>
      <c r="B184" s="13" t="n">
        <v>0.527777777777778</v>
      </c>
      <c r="C184" s="5" t="s">
        <v>54</v>
      </c>
      <c r="D184" s="5" t="str">
        <f aca="false">VLOOKUP(C184,Areas!$A$2:$E$32,3,FALSE())</f>
        <v>Central</v>
      </c>
      <c r="E184" s="5" t="s">
        <v>137</v>
      </c>
      <c r="F184" s="5" t="s">
        <v>138</v>
      </c>
      <c r="G184" s="5" t="str">
        <f aca="false">IF(F184="Large","Matador","Scooter")</f>
        <v>Scooter</v>
      </c>
      <c r="H184" s="5" t="n">
        <f aca="false">VLOOKUP(C184,Areas!$A$2:$E$32,4,FALSE())</f>
        <v>1</v>
      </c>
      <c r="I184" s="5" t="n">
        <f aca="false">2*H184</f>
        <v>2</v>
      </c>
      <c r="J184" s="14" t="n">
        <f aca="false">IF(G184="Matador",I184/Notes!$B$21*Notes!$B$22,I184/Notes!$B$23*Notes!$B$24)</f>
        <v>4.43733333333333</v>
      </c>
      <c r="K184" s="12" t="n">
        <f aca="false">IF(B184&lt;=Notes!$B$26,A184,IF(WEEKDAY(A184)=7,A184+2,A184+1))</f>
        <v>45440</v>
      </c>
      <c r="L184" s="5" t="str">
        <f aca="false">IF(K184=A184,"Yes","No")</f>
        <v>Yes</v>
      </c>
      <c r="M184" s="5" t="str">
        <f aca="false">IF(E184="Express","No","Yes")</f>
        <v>Yes</v>
      </c>
      <c r="N184" s="5" t="n">
        <f aca="false">IF(M184="No",2*H184,0)</f>
        <v>0</v>
      </c>
      <c r="O184" s="14" t="n">
        <f aca="false">IF(N184=0,0,IF(G184="Matador",N184/Notes!$B$21*Notes!$B$22,N184/Notes!$B$23*Notes!$B$24))</f>
        <v>0</v>
      </c>
    </row>
    <row r="185" customFormat="false" ht="15" hidden="false" customHeight="false" outlineLevel="0" collapsed="false">
      <c r="A185" s="12" t="n">
        <v>45440</v>
      </c>
      <c r="B185" s="13" t="n">
        <v>0.53125</v>
      </c>
      <c r="C185" s="5" t="s">
        <v>78</v>
      </c>
      <c r="D185" s="5" t="str">
        <f aca="false">VLOOKUP(C185,Areas!$A$2:$E$32,3,FALSE())</f>
        <v>South</v>
      </c>
      <c r="E185" s="5" t="s">
        <v>139</v>
      </c>
      <c r="F185" s="5" t="s">
        <v>138</v>
      </c>
      <c r="G185" s="5" t="str">
        <f aca="false">IF(F185="Large","Matador","Scooter")</f>
        <v>Scooter</v>
      </c>
      <c r="H185" s="5" t="n">
        <f aca="false">VLOOKUP(C185,Areas!$A$2:$E$32,4,FALSE())</f>
        <v>9</v>
      </c>
      <c r="I185" s="5" t="n">
        <f aca="false">2*H185</f>
        <v>18</v>
      </c>
      <c r="J185" s="14" t="n">
        <f aca="false">IF(G185="Matador",I185/Notes!$B$21*Notes!$B$22,I185/Notes!$B$23*Notes!$B$24)</f>
        <v>39.936</v>
      </c>
      <c r="K185" s="12" t="n">
        <f aca="false">IF(B185&lt;=Notes!$B$26,A185,IF(WEEKDAY(A185)=7,A185+2,A185+1))</f>
        <v>45440</v>
      </c>
      <c r="L185" s="5" t="str">
        <f aca="false">IF(K185=A185,"Yes","No")</f>
        <v>Yes</v>
      </c>
      <c r="M185" s="5" t="str">
        <f aca="false">IF(E185="Express","No","Yes")</f>
        <v>No</v>
      </c>
      <c r="N185" s="5" t="n">
        <f aca="false">IF(M185="No",2*H185,0)</f>
        <v>18</v>
      </c>
      <c r="O185" s="14" t="n">
        <f aca="false">IF(N185=0,0,IF(G185="Matador",N185/Notes!$B$21*Notes!$B$22,N185/Notes!$B$23*Notes!$B$24))</f>
        <v>39.936</v>
      </c>
    </row>
    <row r="186" customFormat="false" ht="15" hidden="false" customHeight="false" outlineLevel="0" collapsed="false">
      <c r="A186" s="12" t="n">
        <v>45440</v>
      </c>
      <c r="B186" s="13" t="n">
        <v>0.583333333333333</v>
      </c>
      <c r="C186" s="5" t="s">
        <v>112</v>
      </c>
      <c r="D186" s="5" t="str">
        <f aca="false">VLOOKUP(C186,Areas!$A$2:$E$32,3,FALSE())</f>
        <v>East</v>
      </c>
      <c r="E186" s="5" t="s">
        <v>139</v>
      </c>
      <c r="F186" s="5" t="s">
        <v>140</v>
      </c>
      <c r="G186" s="5" t="str">
        <f aca="false">IF(F186="Large","Matador","Scooter")</f>
        <v>Matador</v>
      </c>
      <c r="H186" s="5" t="n">
        <f aca="false">VLOOKUP(C186,Areas!$A$2:$E$32,4,FALSE())</f>
        <v>10</v>
      </c>
      <c r="I186" s="5" t="n">
        <f aca="false">2*H186</f>
        <v>20</v>
      </c>
      <c r="J186" s="14" t="n">
        <f aca="false">IF(G186="Matador",I186/Notes!$B$21*Notes!$B$22,I186/Notes!$B$23*Notes!$B$24)</f>
        <v>107.4125</v>
      </c>
      <c r="K186" s="12" t="n">
        <f aca="false">IF(B186&lt;=Notes!$B$26,A186,IF(WEEKDAY(A186)=7,A186+2,A186+1))</f>
        <v>45441</v>
      </c>
      <c r="L186" s="5" t="str">
        <f aca="false">IF(K186=A186,"Yes","No")</f>
        <v>No</v>
      </c>
      <c r="M186" s="5" t="str">
        <f aca="false">IF(E186="Express","No","Yes")</f>
        <v>No</v>
      </c>
      <c r="N186" s="5" t="n">
        <f aca="false">IF(M186="No",2*H186,0)</f>
        <v>20</v>
      </c>
      <c r="O186" s="14" t="n">
        <f aca="false">IF(N186=0,0,IF(G186="Matador",N186/Notes!$B$21*Notes!$B$22,N186/Notes!$B$23*Notes!$B$24))</f>
        <v>107.4125</v>
      </c>
    </row>
    <row r="187" customFormat="false" ht="15" hidden="false" customHeight="false" outlineLevel="0" collapsed="false">
      <c r="A187" s="12" t="n">
        <v>45440</v>
      </c>
      <c r="B187" s="13" t="n">
        <v>0.597222222222222</v>
      </c>
      <c r="C187" s="5" t="s">
        <v>112</v>
      </c>
      <c r="D187" s="5" t="str">
        <f aca="false">VLOOKUP(C187,Areas!$A$2:$E$32,3,FALSE())</f>
        <v>East</v>
      </c>
      <c r="E187" s="5" t="s">
        <v>137</v>
      </c>
      <c r="F187" s="5" t="s">
        <v>140</v>
      </c>
      <c r="G187" s="5" t="str">
        <f aca="false">IF(F187="Large","Matador","Scooter")</f>
        <v>Matador</v>
      </c>
      <c r="H187" s="5" t="n">
        <f aca="false">VLOOKUP(C187,Areas!$A$2:$E$32,4,FALSE())</f>
        <v>10</v>
      </c>
      <c r="I187" s="5" t="n">
        <f aca="false">2*H187</f>
        <v>20</v>
      </c>
      <c r="J187" s="14" t="n">
        <f aca="false">IF(G187="Matador",I187/Notes!$B$21*Notes!$B$22,I187/Notes!$B$23*Notes!$B$24)</f>
        <v>107.4125</v>
      </c>
      <c r="K187" s="12" t="n">
        <f aca="false">IF(B187&lt;=Notes!$B$26,A187,IF(WEEKDAY(A187)=7,A187+2,A187+1))</f>
        <v>45441</v>
      </c>
      <c r="L187" s="5" t="str">
        <f aca="false">IF(K187=A187,"Yes","No")</f>
        <v>No</v>
      </c>
      <c r="M187" s="5" t="str">
        <f aca="false">IF(E187="Express","No","Yes")</f>
        <v>Yes</v>
      </c>
      <c r="N187" s="5" t="n">
        <f aca="false">IF(M187="No",2*H187,0)</f>
        <v>0</v>
      </c>
      <c r="O187" s="14" t="n">
        <f aca="false">IF(N187=0,0,IF(G187="Matador",N187/Notes!$B$21*Notes!$B$22,N187/Notes!$B$23*Notes!$B$24))</f>
        <v>0</v>
      </c>
    </row>
    <row r="188" customFormat="false" ht="15" hidden="false" customHeight="false" outlineLevel="0" collapsed="false">
      <c r="A188" s="12" t="n">
        <v>45440</v>
      </c>
      <c r="B188" s="13" t="n">
        <v>0.652777777777778</v>
      </c>
      <c r="C188" s="5" t="s">
        <v>95</v>
      </c>
      <c r="D188" s="5" t="str">
        <f aca="false">VLOOKUP(C188,Areas!$A$2:$E$32,3,FALSE())</f>
        <v>West</v>
      </c>
      <c r="E188" s="5" t="s">
        <v>139</v>
      </c>
      <c r="F188" s="5" t="s">
        <v>138</v>
      </c>
      <c r="G188" s="5" t="str">
        <f aca="false">IF(F188="Large","Matador","Scooter")</f>
        <v>Scooter</v>
      </c>
      <c r="H188" s="5" t="n">
        <f aca="false">VLOOKUP(C188,Areas!$A$2:$E$32,4,FALSE())</f>
        <v>9</v>
      </c>
      <c r="I188" s="5" t="n">
        <f aca="false">2*H188</f>
        <v>18</v>
      </c>
      <c r="J188" s="14" t="n">
        <f aca="false">IF(G188="Matador",I188/Notes!$B$21*Notes!$B$22,I188/Notes!$B$23*Notes!$B$24)</f>
        <v>39.936</v>
      </c>
      <c r="K188" s="12" t="n">
        <f aca="false">IF(B188&lt;=Notes!$B$26,A188,IF(WEEKDAY(A188)=7,A188+2,A188+1))</f>
        <v>45441</v>
      </c>
      <c r="L188" s="5" t="str">
        <f aca="false">IF(K188=A188,"Yes","No")</f>
        <v>No</v>
      </c>
      <c r="M188" s="5" t="str">
        <f aca="false">IF(E188="Express","No","Yes")</f>
        <v>No</v>
      </c>
      <c r="N188" s="5" t="n">
        <f aca="false">IF(M188="No",2*H188,0)</f>
        <v>18</v>
      </c>
      <c r="O188" s="14" t="n">
        <f aca="false">IF(N188=0,0,IF(G188="Matador",N188/Notes!$B$21*Notes!$B$22,N188/Notes!$B$23*Notes!$B$24))</f>
        <v>39.936</v>
      </c>
    </row>
    <row r="189" customFormat="false" ht="15" hidden="false" customHeight="false" outlineLevel="0" collapsed="false">
      <c r="A189" s="12" t="n">
        <v>45440</v>
      </c>
      <c r="B189" s="13" t="n">
        <v>0.652777777777778</v>
      </c>
      <c r="C189" s="5" t="s">
        <v>93</v>
      </c>
      <c r="D189" s="5" t="str">
        <f aca="false">VLOOKUP(C189,Areas!$A$2:$E$32,3,FALSE())</f>
        <v>West</v>
      </c>
      <c r="E189" s="5" t="s">
        <v>139</v>
      </c>
      <c r="F189" s="5" t="s">
        <v>138</v>
      </c>
      <c r="G189" s="5" t="str">
        <f aca="false">IF(F189="Large","Matador","Scooter")</f>
        <v>Scooter</v>
      </c>
      <c r="H189" s="5" t="n">
        <f aca="false">VLOOKUP(C189,Areas!$A$2:$E$32,4,FALSE())</f>
        <v>6.5</v>
      </c>
      <c r="I189" s="5" t="n">
        <f aca="false">2*H189</f>
        <v>13</v>
      </c>
      <c r="J189" s="14" t="n">
        <f aca="false">IF(G189="Matador",I189/Notes!$B$21*Notes!$B$22,I189/Notes!$B$23*Notes!$B$24)</f>
        <v>28.8426666666667</v>
      </c>
      <c r="K189" s="12" t="n">
        <f aca="false">IF(B189&lt;=Notes!$B$26,A189,IF(WEEKDAY(A189)=7,A189+2,A189+1))</f>
        <v>45441</v>
      </c>
      <c r="L189" s="5" t="str">
        <f aca="false">IF(K189=A189,"Yes","No")</f>
        <v>No</v>
      </c>
      <c r="M189" s="5" t="str">
        <f aca="false">IF(E189="Express","No","Yes")</f>
        <v>No</v>
      </c>
      <c r="N189" s="5" t="n">
        <f aca="false">IF(M189="No",2*H189,0)</f>
        <v>13</v>
      </c>
      <c r="O189" s="14" t="n">
        <f aca="false">IF(N189=0,0,IF(G189="Matador",N189/Notes!$B$21*Notes!$B$22,N189/Notes!$B$23*Notes!$B$24))</f>
        <v>28.8426666666667</v>
      </c>
    </row>
    <row r="190" customFormat="false" ht="15" hidden="false" customHeight="false" outlineLevel="0" collapsed="false">
      <c r="A190" s="12" t="n">
        <v>45440</v>
      </c>
      <c r="B190" s="13" t="n">
        <v>0.690972222222222</v>
      </c>
      <c r="C190" s="5" t="s">
        <v>99</v>
      </c>
      <c r="D190" s="5" t="str">
        <f aca="false">VLOOKUP(C190,Areas!$A$2:$E$32,3,FALSE())</f>
        <v>North</v>
      </c>
      <c r="E190" s="5" t="s">
        <v>137</v>
      </c>
      <c r="F190" s="5" t="s">
        <v>140</v>
      </c>
      <c r="G190" s="5" t="str">
        <f aca="false">IF(F190="Large","Matador","Scooter")</f>
        <v>Matador</v>
      </c>
      <c r="H190" s="5" t="n">
        <f aca="false">VLOOKUP(C190,Areas!$A$2:$E$32,4,FALSE())</f>
        <v>6.5</v>
      </c>
      <c r="I190" s="5" t="n">
        <f aca="false">2*H190</f>
        <v>13</v>
      </c>
      <c r="J190" s="14" t="n">
        <f aca="false">IF(G190="Matador",I190/Notes!$B$21*Notes!$B$22,I190/Notes!$B$23*Notes!$B$24)</f>
        <v>69.818125</v>
      </c>
      <c r="K190" s="12" t="n">
        <f aca="false">IF(B190&lt;=Notes!$B$26,A190,IF(WEEKDAY(A190)=7,A190+2,A190+1))</f>
        <v>45441</v>
      </c>
      <c r="L190" s="5" t="str">
        <f aca="false">IF(K190=A190,"Yes","No")</f>
        <v>No</v>
      </c>
      <c r="M190" s="5" t="str">
        <f aca="false">IF(E190="Express","No","Yes")</f>
        <v>Yes</v>
      </c>
      <c r="N190" s="5" t="n">
        <f aca="false">IF(M190="No",2*H190,0)</f>
        <v>0</v>
      </c>
      <c r="O190" s="14" t="n">
        <f aca="false">IF(N190=0,0,IF(G190="Matador",N190/Notes!$B$21*Notes!$B$22,N190/Notes!$B$23*Notes!$B$24))</f>
        <v>0</v>
      </c>
    </row>
    <row r="191" customFormat="false" ht="15" hidden="false" customHeight="false" outlineLevel="0" collapsed="false">
      <c r="A191" s="12" t="n">
        <v>45440</v>
      </c>
      <c r="B191" s="13" t="n">
        <v>0.71875</v>
      </c>
      <c r="C191" s="5" t="s">
        <v>74</v>
      </c>
      <c r="D191" s="5" t="str">
        <f aca="false">VLOOKUP(C191,Areas!$A$2:$E$32,3,FALSE())</f>
        <v>South</v>
      </c>
      <c r="E191" s="5" t="s">
        <v>137</v>
      </c>
      <c r="F191" s="5" t="s">
        <v>140</v>
      </c>
      <c r="G191" s="5" t="str">
        <f aca="false">IF(F191="Large","Matador","Scooter")</f>
        <v>Matador</v>
      </c>
      <c r="H191" s="5" t="n">
        <f aca="false">VLOOKUP(C191,Areas!$A$2:$E$32,4,FALSE())</f>
        <v>2.5</v>
      </c>
      <c r="I191" s="5" t="n">
        <f aca="false">2*H191</f>
        <v>5</v>
      </c>
      <c r="J191" s="14" t="n">
        <f aca="false">IF(G191="Matador",I191/Notes!$B$21*Notes!$B$22,I191/Notes!$B$23*Notes!$B$24)</f>
        <v>26.853125</v>
      </c>
      <c r="K191" s="12" t="n">
        <f aca="false">IF(B191&lt;=Notes!$B$26,A191,IF(WEEKDAY(A191)=7,A191+2,A191+1))</f>
        <v>45441</v>
      </c>
      <c r="L191" s="5" t="str">
        <f aca="false">IF(K191=A191,"Yes","No")</f>
        <v>No</v>
      </c>
      <c r="M191" s="5" t="str">
        <f aca="false">IF(E191="Express","No","Yes")</f>
        <v>Yes</v>
      </c>
      <c r="N191" s="5" t="n">
        <f aca="false">IF(M191="No",2*H191,0)</f>
        <v>0</v>
      </c>
      <c r="O191" s="14" t="n">
        <f aca="false">IF(N191=0,0,IF(G191="Matador",N191/Notes!$B$21*Notes!$B$22,N191/Notes!$B$23*Notes!$B$24))</f>
        <v>0</v>
      </c>
    </row>
    <row r="192" customFormat="false" ht="15" hidden="false" customHeight="false" outlineLevel="0" collapsed="false">
      <c r="A192" s="12" t="n">
        <v>45440</v>
      </c>
      <c r="B192" s="13" t="n">
        <v>0.732638888888889</v>
      </c>
      <c r="C192" s="5" t="s">
        <v>71</v>
      </c>
      <c r="D192" s="5" t="str">
        <f aca="false">VLOOKUP(C192,Areas!$A$2:$E$32,3,FALSE())</f>
        <v>South</v>
      </c>
      <c r="E192" s="5" t="s">
        <v>137</v>
      </c>
      <c r="F192" s="5" t="s">
        <v>138</v>
      </c>
      <c r="G192" s="5" t="str">
        <f aca="false">IF(F192="Large","Matador","Scooter")</f>
        <v>Scooter</v>
      </c>
      <c r="H192" s="5" t="n">
        <f aca="false">VLOOKUP(C192,Areas!$A$2:$E$32,4,FALSE())</f>
        <v>4.5</v>
      </c>
      <c r="I192" s="5" t="n">
        <f aca="false">2*H192</f>
        <v>9</v>
      </c>
      <c r="J192" s="14" t="n">
        <f aca="false">IF(G192="Matador",I192/Notes!$B$21*Notes!$B$22,I192/Notes!$B$23*Notes!$B$24)</f>
        <v>19.968</v>
      </c>
      <c r="K192" s="12" t="n">
        <f aca="false">IF(B192&lt;=Notes!$B$26,A192,IF(WEEKDAY(A192)=7,A192+2,A192+1))</f>
        <v>45441</v>
      </c>
      <c r="L192" s="5" t="str">
        <f aca="false">IF(K192=A192,"Yes","No")</f>
        <v>No</v>
      </c>
      <c r="M192" s="5" t="str">
        <f aca="false">IF(E192="Express","No","Yes")</f>
        <v>Yes</v>
      </c>
      <c r="N192" s="5" t="n">
        <f aca="false">IF(M192="No",2*H192,0)</f>
        <v>0</v>
      </c>
      <c r="O192" s="14" t="n">
        <f aca="false">IF(N192=0,0,IF(G192="Matador",N192/Notes!$B$21*Notes!$B$22,N192/Notes!$B$23*Notes!$B$24))</f>
        <v>0</v>
      </c>
    </row>
    <row r="193" customFormat="false" ht="15" hidden="false" customHeight="false" outlineLevel="0" collapsed="false">
      <c r="A193" s="12" t="n">
        <v>45440</v>
      </c>
      <c r="B193" s="13" t="n">
        <v>0.746527777777778</v>
      </c>
      <c r="C193" s="5" t="s">
        <v>93</v>
      </c>
      <c r="D193" s="5" t="str">
        <f aca="false">VLOOKUP(C193,Areas!$A$2:$E$32,3,FALSE())</f>
        <v>West</v>
      </c>
      <c r="E193" s="5" t="s">
        <v>137</v>
      </c>
      <c r="F193" s="5" t="s">
        <v>140</v>
      </c>
      <c r="G193" s="5" t="str">
        <f aca="false">IF(F193="Large","Matador","Scooter")</f>
        <v>Matador</v>
      </c>
      <c r="H193" s="5" t="n">
        <f aca="false">VLOOKUP(C193,Areas!$A$2:$E$32,4,FALSE())</f>
        <v>6.5</v>
      </c>
      <c r="I193" s="5" t="n">
        <f aca="false">2*H193</f>
        <v>13</v>
      </c>
      <c r="J193" s="14" t="n">
        <f aca="false">IF(G193="Matador",I193/Notes!$B$21*Notes!$B$22,I193/Notes!$B$23*Notes!$B$24)</f>
        <v>69.818125</v>
      </c>
      <c r="K193" s="12" t="n">
        <f aca="false">IF(B193&lt;=Notes!$B$26,A193,IF(WEEKDAY(A193)=7,A193+2,A193+1))</f>
        <v>45441</v>
      </c>
      <c r="L193" s="5" t="str">
        <f aca="false">IF(K193=A193,"Yes","No")</f>
        <v>No</v>
      </c>
      <c r="M193" s="5" t="str">
        <f aca="false">IF(E193="Express","No","Yes")</f>
        <v>Yes</v>
      </c>
      <c r="N193" s="5" t="n">
        <f aca="false">IF(M193="No",2*H193,0)</f>
        <v>0</v>
      </c>
      <c r="O193" s="14" t="n">
        <f aca="false">IF(N193=0,0,IF(G193="Matador",N193/Notes!$B$21*Notes!$B$22,N193/Notes!$B$23*Notes!$B$24))</f>
        <v>0</v>
      </c>
    </row>
    <row r="194" customFormat="false" ht="15" hidden="false" customHeight="false" outlineLevel="0" collapsed="false">
      <c r="A194" s="12" t="n">
        <v>45441</v>
      </c>
      <c r="B194" s="13" t="n">
        <v>0.423611111111111</v>
      </c>
      <c r="C194" s="5" t="s">
        <v>99</v>
      </c>
      <c r="D194" s="5" t="str">
        <f aca="false">VLOOKUP(C194,Areas!$A$2:$E$32,3,FALSE())</f>
        <v>North</v>
      </c>
      <c r="E194" s="5" t="s">
        <v>137</v>
      </c>
      <c r="F194" s="5" t="s">
        <v>138</v>
      </c>
      <c r="G194" s="5" t="str">
        <f aca="false">IF(F194="Large","Matador","Scooter")</f>
        <v>Scooter</v>
      </c>
      <c r="H194" s="5" t="n">
        <f aca="false">VLOOKUP(C194,Areas!$A$2:$E$32,4,FALSE())</f>
        <v>6.5</v>
      </c>
      <c r="I194" s="5" t="n">
        <f aca="false">2*H194</f>
        <v>13</v>
      </c>
      <c r="J194" s="14" t="n">
        <f aca="false">IF(G194="Matador",I194/Notes!$B$21*Notes!$B$22,I194/Notes!$B$23*Notes!$B$24)</f>
        <v>28.8426666666667</v>
      </c>
      <c r="K194" s="12" t="n">
        <f aca="false">IF(B194&lt;=Notes!$B$26,A194,IF(WEEKDAY(A194)=7,A194+2,A194+1))</f>
        <v>45441</v>
      </c>
      <c r="L194" s="5" t="str">
        <f aca="false">IF(K194=A194,"Yes","No")</f>
        <v>Yes</v>
      </c>
      <c r="M194" s="5" t="str">
        <f aca="false">IF(E194="Express","No","Yes")</f>
        <v>Yes</v>
      </c>
      <c r="N194" s="5" t="n">
        <f aca="false">IF(M194="No",2*H194,0)</f>
        <v>0</v>
      </c>
      <c r="O194" s="14" t="n">
        <f aca="false">IF(N194=0,0,IF(G194="Matador",N194/Notes!$B$21*Notes!$B$22,N194/Notes!$B$23*Notes!$B$24))</f>
        <v>0</v>
      </c>
    </row>
    <row r="195" customFormat="false" ht="15" hidden="false" customHeight="false" outlineLevel="0" collapsed="false">
      <c r="A195" s="12" t="n">
        <v>45441</v>
      </c>
      <c r="B195" s="13" t="n">
        <v>0.513888888888889</v>
      </c>
      <c r="C195" s="5" t="s">
        <v>86</v>
      </c>
      <c r="D195" s="5" t="str">
        <f aca="false">VLOOKUP(C195,Areas!$A$2:$E$32,3,FALSE())</f>
        <v>South</v>
      </c>
      <c r="E195" s="5" t="s">
        <v>137</v>
      </c>
      <c r="F195" s="5" t="s">
        <v>140</v>
      </c>
      <c r="G195" s="5" t="str">
        <f aca="false">IF(F195="Large","Matador","Scooter")</f>
        <v>Matador</v>
      </c>
      <c r="H195" s="5" t="n">
        <f aca="false">VLOOKUP(C195,Areas!$A$2:$E$32,4,FALSE())</f>
        <v>21.5</v>
      </c>
      <c r="I195" s="5" t="n">
        <f aca="false">2*H195</f>
        <v>43</v>
      </c>
      <c r="J195" s="14" t="n">
        <f aca="false">IF(G195="Matador",I195/Notes!$B$21*Notes!$B$22,I195/Notes!$B$23*Notes!$B$24)</f>
        <v>230.936875</v>
      </c>
      <c r="K195" s="12" t="n">
        <f aca="false">IF(B195&lt;=Notes!$B$26,A195,IF(WEEKDAY(A195)=7,A195+2,A195+1))</f>
        <v>45441</v>
      </c>
      <c r="L195" s="5" t="str">
        <f aca="false">IF(K195=A195,"Yes","No")</f>
        <v>Yes</v>
      </c>
      <c r="M195" s="5" t="str">
        <f aca="false">IF(E195="Express","No","Yes")</f>
        <v>Yes</v>
      </c>
      <c r="N195" s="5" t="n">
        <f aca="false">IF(M195="No",2*H195,0)</f>
        <v>0</v>
      </c>
      <c r="O195" s="14" t="n">
        <f aca="false">IF(N195=0,0,IF(G195="Matador",N195/Notes!$B$21*Notes!$B$22,N195/Notes!$B$23*Notes!$B$24))</f>
        <v>0</v>
      </c>
    </row>
    <row r="196" customFormat="false" ht="15" hidden="false" customHeight="false" outlineLevel="0" collapsed="false">
      <c r="A196" s="12" t="n">
        <v>45441</v>
      </c>
      <c r="B196" s="13" t="n">
        <v>0.552083333333333</v>
      </c>
      <c r="C196" s="5" t="s">
        <v>119</v>
      </c>
      <c r="D196" s="5" t="str">
        <f aca="false">VLOOKUP(C196,Areas!$A$2:$E$32,3,FALSE())</f>
        <v>East</v>
      </c>
      <c r="E196" s="5" t="s">
        <v>139</v>
      </c>
      <c r="F196" s="5" t="s">
        <v>138</v>
      </c>
      <c r="G196" s="5" t="str">
        <f aca="false">IF(F196="Large","Matador","Scooter")</f>
        <v>Scooter</v>
      </c>
      <c r="H196" s="5" t="n">
        <f aca="false">VLOOKUP(C196,Areas!$A$2:$E$32,4,FALSE())</f>
        <v>18</v>
      </c>
      <c r="I196" s="5" t="n">
        <f aca="false">2*H196</f>
        <v>36</v>
      </c>
      <c r="J196" s="14" t="n">
        <f aca="false">IF(G196="Matador",I196/Notes!$B$21*Notes!$B$22,I196/Notes!$B$23*Notes!$B$24)</f>
        <v>79.872</v>
      </c>
      <c r="K196" s="12" t="n">
        <f aca="false">IF(B196&lt;=Notes!$B$26,A196,IF(WEEKDAY(A196)=7,A196+2,A196+1))</f>
        <v>45442</v>
      </c>
      <c r="L196" s="5" t="str">
        <f aca="false">IF(K196=A196,"Yes","No")</f>
        <v>No</v>
      </c>
      <c r="M196" s="5" t="str">
        <f aca="false">IF(E196="Express","No","Yes")</f>
        <v>No</v>
      </c>
      <c r="N196" s="5" t="n">
        <f aca="false">IF(M196="No",2*H196,0)</f>
        <v>36</v>
      </c>
      <c r="O196" s="14" t="n">
        <f aca="false">IF(N196=0,0,IF(G196="Matador",N196/Notes!$B$21*Notes!$B$22,N196/Notes!$B$23*Notes!$B$24))</f>
        <v>79.872</v>
      </c>
    </row>
    <row r="197" customFormat="false" ht="15" hidden="false" customHeight="false" outlineLevel="0" collapsed="false">
      <c r="A197" s="12" t="n">
        <v>45441</v>
      </c>
      <c r="B197" s="13" t="n">
        <v>0.579861111111111</v>
      </c>
      <c r="C197" s="5" t="s">
        <v>108</v>
      </c>
      <c r="D197" s="5" t="str">
        <f aca="false">VLOOKUP(C197,Areas!$A$2:$E$32,3,FALSE())</f>
        <v>North</v>
      </c>
      <c r="E197" s="5" t="s">
        <v>139</v>
      </c>
      <c r="F197" s="5" t="s">
        <v>140</v>
      </c>
      <c r="G197" s="5" t="str">
        <f aca="false">IF(F197="Large","Matador","Scooter")</f>
        <v>Matador</v>
      </c>
      <c r="H197" s="5" t="n">
        <f aca="false">VLOOKUP(C197,Areas!$A$2:$E$32,4,FALSE())</f>
        <v>14.5</v>
      </c>
      <c r="I197" s="5" t="n">
        <f aca="false">2*H197</f>
        <v>29</v>
      </c>
      <c r="J197" s="14" t="n">
        <f aca="false">IF(G197="Matador",I197/Notes!$B$21*Notes!$B$22,I197/Notes!$B$23*Notes!$B$24)</f>
        <v>155.748125</v>
      </c>
      <c r="K197" s="12" t="n">
        <f aca="false">IF(B197&lt;=Notes!$B$26,A197,IF(WEEKDAY(A197)=7,A197+2,A197+1))</f>
        <v>45442</v>
      </c>
      <c r="L197" s="5" t="str">
        <f aca="false">IF(K197=A197,"Yes","No")</f>
        <v>No</v>
      </c>
      <c r="M197" s="5" t="str">
        <f aca="false">IF(E197="Express","No","Yes")</f>
        <v>No</v>
      </c>
      <c r="N197" s="5" t="n">
        <f aca="false">IF(M197="No",2*H197,0)</f>
        <v>29</v>
      </c>
      <c r="O197" s="14" t="n">
        <f aca="false">IF(N197=0,0,IF(G197="Matador",N197/Notes!$B$21*Notes!$B$22,N197/Notes!$B$23*Notes!$B$24))</f>
        <v>155.748125</v>
      </c>
    </row>
    <row r="198" customFormat="false" ht="15" hidden="false" customHeight="false" outlineLevel="0" collapsed="false">
      <c r="A198" s="12" t="n">
        <v>45441</v>
      </c>
      <c r="B198" s="13" t="n">
        <v>0.583333333333333</v>
      </c>
      <c r="C198" s="5" t="s">
        <v>106</v>
      </c>
      <c r="D198" s="5" t="str">
        <f aca="false">VLOOKUP(C198,Areas!$A$2:$E$32,3,FALSE())</f>
        <v>North</v>
      </c>
      <c r="E198" s="5" t="s">
        <v>137</v>
      </c>
      <c r="F198" s="5" t="s">
        <v>138</v>
      </c>
      <c r="G198" s="5" t="str">
        <f aca="false">IF(F198="Large","Matador","Scooter")</f>
        <v>Scooter</v>
      </c>
      <c r="H198" s="5" t="n">
        <f aca="false">VLOOKUP(C198,Areas!$A$2:$E$32,4,FALSE())</f>
        <v>10.5</v>
      </c>
      <c r="I198" s="5" t="n">
        <f aca="false">2*H198</f>
        <v>21</v>
      </c>
      <c r="J198" s="14" t="n">
        <f aca="false">IF(G198="Matador",I198/Notes!$B$21*Notes!$B$22,I198/Notes!$B$23*Notes!$B$24)</f>
        <v>46.592</v>
      </c>
      <c r="K198" s="12" t="n">
        <f aca="false">IF(B198&lt;=Notes!$B$26,A198,IF(WEEKDAY(A198)=7,A198+2,A198+1))</f>
        <v>45442</v>
      </c>
      <c r="L198" s="5" t="str">
        <f aca="false">IF(K198=A198,"Yes","No")</f>
        <v>No</v>
      </c>
      <c r="M198" s="5" t="str">
        <f aca="false">IF(E198="Express","No","Yes")</f>
        <v>Yes</v>
      </c>
      <c r="N198" s="5" t="n">
        <f aca="false">IF(M198="No",2*H198,0)</f>
        <v>0</v>
      </c>
      <c r="O198" s="14" t="n">
        <f aca="false">IF(N198=0,0,IF(G198="Matador",N198/Notes!$B$21*Notes!$B$22,N198/Notes!$B$23*Notes!$B$24))</f>
        <v>0</v>
      </c>
    </row>
    <row r="199" customFormat="false" ht="15" hidden="false" customHeight="false" outlineLevel="0" collapsed="false">
      <c r="A199" s="12" t="n">
        <v>45441</v>
      </c>
      <c r="B199" s="13" t="n">
        <v>0.649305555555556</v>
      </c>
      <c r="C199" s="5" t="s">
        <v>112</v>
      </c>
      <c r="D199" s="5" t="str">
        <f aca="false">VLOOKUP(C199,Areas!$A$2:$E$32,3,FALSE())</f>
        <v>East</v>
      </c>
      <c r="E199" s="5" t="s">
        <v>137</v>
      </c>
      <c r="F199" s="5" t="s">
        <v>138</v>
      </c>
      <c r="G199" s="5" t="str">
        <f aca="false">IF(F199="Large","Matador","Scooter")</f>
        <v>Scooter</v>
      </c>
      <c r="H199" s="5" t="n">
        <f aca="false">VLOOKUP(C199,Areas!$A$2:$E$32,4,FALSE())</f>
        <v>10</v>
      </c>
      <c r="I199" s="5" t="n">
        <f aca="false">2*H199</f>
        <v>20</v>
      </c>
      <c r="J199" s="14" t="n">
        <f aca="false">IF(G199="Matador",I199/Notes!$B$21*Notes!$B$22,I199/Notes!$B$23*Notes!$B$24)</f>
        <v>44.3733333333333</v>
      </c>
      <c r="K199" s="12" t="n">
        <f aca="false">IF(B199&lt;=Notes!$B$26,A199,IF(WEEKDAY(A199)=7,A199+2,A199+1))</f>
        <v>45442</v>
      </c>
      <c r="L199" s="5" t="str">
        <f aca="false">IF(K199=A199,"Yes","No")</f>
        <v>No</v>
      </c>
      <c r="M199" s="5" t="str">
        <f aca="false">IF(E199="Express","No","Yes")</f>
        <v>Yes</v>
      </c>
      <c r="N199" s="5" t="n">
        <f aca="false">IF(M199="No",2*H199,0)</f>
        <v>0</v>
      </c>
      <c r="O199" s="14" t="n">
        <f aca="false">IF(N199=0,0,IF(G199="Matador",N199/Notes!$B$21*Notes!$B$22,N199/Notes!$B$23*Notes!$B$24))</f>
        <v>0</v>
      </c>
    </row>
    <row r="200" customFormat="false" ht="15" hidden="false" customHeight="false" outlineLevel="0" collapsed="false">
      <c r="A200" s="12" t="n">
        <v>45441</v>
      </c>
      <c r="B200" s="13" t="n">
        <v>0.663194444444444</v>
      </c>
      <c r="C200" s="5" t="s">
        <v>88</v>
      </c>
      <c r="D200" s="5" t="str">
        <f aca="false">VLOOKUP(C200,Areas!$A$2:$E$32,3,FALSE())</f>
        <v>West</v>
      </c>
      <c r="E200" s="5" t="s">
        <v>139</v>
      </c>
      <c r="F200" s="5" t="s">
        <v>138</v>
      </c>
      <c r="G200" s="5" t="str">
        <f aca="false">IF(F200="Large","Matador","Scooter")</f>
        <v>Scooter</v>
      </c>
      <c r="H200" s="5" t="n">
        <f aca="false">VLOOKUP(C200,Areas!$A$2:$E$32,4,FALSE())</f>
        <v>5.5</v>
      </c>
      <c r="I200" s="5" t="n">
        <f aca="false">2*H200</f>
        <v>11</v>
      </c>
      <c r="J200" s="14" t="n">
        <f aca="false">IF(G200="Matador",I200/Notes!$B$21*Notes!$B$22,I200/Notes!$B$23*Notes!$B$24)</f>
        <v>24.4053333333333</v>
      </c>
      <c r="K200" s="12" t="n">
        <f aca="false">IF(B200&lt;=Notes!$B$26,A200,IF(WEEKDAY(A200)=7,A200+2,A200+1))</f>
        <v>45442</v>
      </c>
      <c r="L200" s="5" t="str">
        <f aca="false">IF(K200=A200,"Yes","No")</f>
        <v>No</v>
      </c>
      <c r="M200" s="5" t="str">
        <f aca="false">IF(E200="Express","No","Yes")</f>
        <v>No</v>
      </c>
      <c r="N200" s="5" t="n">
        <f aca="false">IF(M200="No",2*H200,0)</f>
        <v>11</v>
      </c>
      <c r="O200" s="14" t="n">
        <f aca="false">IF(N200=0,0,IF(G200="Matador",N200/Notes!$B$21*Notes!$B$22,N200/Notes!$B$23*Notes!$B$24))</f>
        <v>24.4053333333333</v>
      </c>
    </row>
    <row r="201" customFormat="false" ht="15" hidden="false" customHeight="false" outlineLevel="0" collapsed="false">
      <c r="A201" s="12" t="n">
        <v>45441</v>
      </c>
      <c r="B201" s="13" t="n">
        <v>0.711805555555556</v>
      </c>
      <c r="C201" s="5" t="s">
        <v>74</v>
      </c>
      <c r="D201" s="5" t="str">
        <f aca="false">VLOOKUP(C201,Areas!$A$2:$E$32,3,FALSE())</f>
        <v>South</v>
      </c>
      <c r="E201" s="5" t="s">
        <v>137</v>
      </c>
      <c r="F201" s="5" t="s">
        <v>140</v>
      </c>
      <c r="G201" s="5" t="str">
        <f aca="false">IF(F201="Large","Matador","Scooter")</f>
        <v>Matador</v>
      </c>
      <c r="H201" s="5" t="n">
        <f aca="false">VLOOKUP(C201,Areas!$A$2:$E$32,4,FALSE())</f>
        <v>2.5</v>
      </c>
      <c r="I201" s="5" t="n">
        <f aca="false">2*H201</f>
        <v>5</v>
      </c>
      <c r="J201" s="14" t="n">
        <f aca="false">IF(G201="Matador",I201/Notes!$B$21*Notes!$B$22,I201/Notes!$B$23*Notes!$B$24)</f>
        <v>26.853125</v>
      </c>
      <c r="K201" s="12" t="n">
        <f aca="false">IF(B201&lt;=Notes!$B$26,A201,IF(WEEKDAY(A201)=7,A201+2,A201+1))</f>
        <v>45442</v>
      </c>
      <c r="L201" s="5" t="str">
        <f aca="false">IF(K201=A201,"Yes","No")</f>
        <v>No</v>
      </c>
      <c r="M201" s="5" t="str">
        <f aca="false">IF(E201="Express","No","Yes")</f>
        <v>Yes</v>
      </c>
      <c r="N201" s="5" t="n">
        <f aca="false">IF(M201="No",2*H201,0)</f>
        <v>0</v>
      </c>
      <c r="O201" s="14" t="n">
        <f aca="false">IF(N201=0,0,IF(G201="Matador",N201/Notes!$B$21*Notes!$B$22,N201/Notes!$B$23*Notes!$B$24))</f>
        <v>0</v>
      </c>
    </row>
    <row r="202" customFormat="false" ht="15" hidden="false" customHeight="false" outlineLevel="0" collapsed="false">
      <c r="A202" s="12" t="n">
        <v>45442</v>
      </c>
      <c r="B202" s="13" t="n">
        <v>0.510416666666667</v>
      </c>
      <c r="C202" s="5" t="s">
        <v>66</v>
      </c>
      <c r="D202" s="5" t="str">
        <f aca="false">VLOOKUP(C202,Areas!$A$2:$E$32,3,FALSE())</f>
        <v>Central</v>
      </c>
      <c r="E202" s="5" t="s">
        <v>139</v>
      </c>
      <c r="F202" s="5" t="s">
        <v>140</v>
      </c>
      <c r="G202" s="5" t="str">
        <f aca="false">IF(F202="Large","Matador","Scooter")</f>
        <v>Matador</v>
      </c>
      <c r="H202" s="5" t="n">
        <f aca="false">VLOOKUP(C202,Areas!$A$2:$E$32,4,FALSE())</f>
        <v>6</v>
      </c>
      <c r="I202" s="5" t="n">
        <f aca="false">2*H202</f>
        <v>12</v>
      </c>
      <c r="J202" s="14" t="n">
        <f aca="false">IF(G202="Matador",I202/Notes!$B$21*Notes!$B$22,I202/Notes!$B$23*Notes!$B$24)</f>
        <v>64.4475</v>
      </c>
      <c r="K202" s="12" t="n">
        <f aca="false">IF(B202&lt;=Notes!$B$26,A202,IF(WEEKDAY(A202)=7,A202+2,A202+1))</f>
        <v>45442</v>
      </c>
      <c r="L202" s="5" t="str">
        <f aca="false">IF(K202=A202,"Yes","No")</f>
        <v>Yes</v>
      </c>
      <c r="M202" s="5" t="str">
        <f aca="false">IF(E202="Express","No","Yes")</f>
        <v>No</v>
      </c>
      <c r="N202" s="5" t="n">
        <f aca="false">IF(M202="No",2*H202,0)</f>
        <v>12</v>
      </c>
      <c r="O202" s="14" t="n">
        <f aca="false">IF(N202=0,0,IF(G202="Matador",N202/Notes!$B$21*Notes!$B$22,N202/Notes!$B$23*Notes!$B$24))</f>
        <v>64.4475</v>
      </c>
    </row>
    <row r="203" customFormat="false" ht="15" hidden="false" customHeight="false" outlineLevel="0" collapsed="false">
      <c r="A203" s="12" t="n">
        <v>45442</v>
      </c>
      <c r="B203" s="13" t="n">
        <v>0.541666666666667</v>
      </c>
      <c r="C203" s="5" t="s">
        <v>121</v>
      </c>
      <c r="D203" s="5" t="str">
        <f aca="false">VLOOKUP(C203,Areas!$A$2:$E$32,3,FALSE())</f>
        <v>East</v>
      </c>
      <c r="E203" s="5" t="s">
        <v>137</v>
      </c>
      <c r="F203" s="5" t="s">
        <v>138</v>
      </c>
      <c r="G203" s="5" t="str">
        <f aca="false">IF(F203="Large","Matador","Scooter")</f>
        <v>Scooter</v>
      </c>
      <c r="H203" s="5" t="n">
        <f aca="false">VLOOKUP(C203,Areas!$A$2:$E$32,4,FALSE())</f>
        <v>24</v>
      </c>
      <c r="I203" s="5" t="n">
        <f aca="false">2*H203</f>
        <v>48</v>
      </c>
      <c r="J203" s="14" t="n">
        <f aca="false">IF(G203="Matador",I203/Notes!$B$21*Notes!$B$22,I203/Notes!$B$23*Notes!$B$24)</f>
        <v>106.496</v>
      </c>
      <c r="K203" s="12" t="n">
        <f aca="false">IF(B203&lt;=Notes!$B$26,A203,IF(WEEKDAY(A203)=7,A203+2,A203+1))</f>
        <v>45442</v>
      </c>
      <c r="L203" s="5" t="str">
        <f aca="false">IF(K203=A203,"Yes","No")</f>
        <v>Yes</v>
      </c>
      <c r="M203" s="5" t="str">
        <f aca="false">IF(E203="Express","No","Yes")</f>
        <v>Yes</v>
      </c>
      <c r="N203" s="5" t="n">
        <f aca="false">IF(M203="No",2*H203,0)</f>
        <v>0</v>
      </c>
      <c r="O203" s="14" t="n">
        <f aca="false">IF(N203=0,0,IF(G203="Matador",N203/Notes!$B$21*Notes!$B$22,N203/Notes!$B$23*Notes!$B$24))</f>
        <v>0</v>
      </c>
    </row>
    <row r="204" customFormat="false" ht="15" hidden="false" customHeight="false" outlineLevel="0" collapsed="false">
      <c r="A204" s="12" t="n">
        <v>45442</v>
      </c>
      <c r="B204" s="13" t="n">
        <v>0.604166666666667</v>
      </c>
      <c r="C204" s="5" t="s">
        <v>54</v>
      </c>
      <c r="D204" s="5" t="str">
        <f aca="false">VLOOKUP(C204,Areas!$A$2:$E$32,3,FALSE())</f>
        <v>Central</v>
      </c>
      <c r="E204" s="5" t="s">
        <v>139</v>
      </c>
      <c r="F204" s="5" t="s">
        <v>138</v>
      </c>
      <c r="G204" s="5" t="str">
        <f aca="false">IF(F204="Large","Matador","Scooter")</f>
        <v>Scooter</v>
      </c>
      <c r="H204" s="5" t="n">
        <f aca="false">VLOOKUP(C204,Areas!$A$2:$E$32,4,FALSE())</f>
        <v>1</v>
      </c>
      <c r="I204" s="5" t="n">
        <f aca="false">2*H204</f>
        <v>2</v>
      </c>
      <c r="J204" s="14" t="n">
        <f aca="false">IF(G204="Matador",I204/Notes!$B$21*Notes!$B$22,I204/Notes!$B$23*Notes!$B$24)</f>
        <v>4.43733333333333</v>
      </c>
      <c r="K204" s="12" t="n">
        <f aca="false">IF(B204&lt;=Notes!$B$26,A204,IF(WEEKDAY(A204)=7,A204+2,A204+1))</f>
        <v>45443</v>
      </c>
      <c r="L204" s="5" t="str">
        <f aca="false">IF(K204=A204,"Yes","No")</f>
        <v>No</v>
      </c>
      <c r="M204" s="5" t="str">
        <f aca="false">IF(E204="Express","No","Yes")</f>
        <v>No</v>
      </c>
      <c r="N204" s="5" t="n">
        <f aca="false">IF(M204="No",2*H204,0)</f>
        <v>2</v>
      </c>
      <c r="O204" s="14" t="n">
        <f aca="false">IF(N204=0,0,IF(G204="Matador",N204/Notes!$B$21*Notes!$B$22,N204/Notes!$B$23*Notes!$B$24))</f>
        <v>4.43733333333333</v>
      </c>
    </row>
    <row r="205" customFormat="false" ht="15" hidden="false" customHeight="false" outlineLevel="0" collapsed="false">
      <c r="A205" s="12" t="n">
        <v>45442</v>
      </c>
      <c r="B205" s="13" t="n">
        <v>0.635416666666667</v>
      </c>
      <c r="C205" s="5" t="s">
        <v>108</v>
      </c>
      <c r="D205" s="5" t="str">
        <f aca="false">VLOOKUP(C205,Areas!$A$2:$E$32,3,FALSE())</f>
        <v>North</v>
      </c>
      <c r="E205" s="5" t="s">
        <v>137</v>
      </c>
      <c r="F205" s="5" t="s">
        <v>138</v>
      </c>
      <c r="G205" s="5" t="str">
        <f aca="false">IF(F205="Large","Matador","Scooter")</f>
        <v>Scooter</v>
      </c>
      <c r="H205" s="5" t="n">
        <f aca="false">VLOOKUP(C205,Areas!$A$2:$E$32,4,FALSE())</f>
        <v>14.5</v>
      </c>
      <c r="I205" s="5" t="n">
        <f aca="false">2*H205</f>
        <v>29</v>
      </c>
      <c r="J205" s="14" t="n">
        <f aca="false">IF(G205="Matador",I205/Notes!$B$21*Notes!$B$22,I205/Notes!$B$23*Notes!$B$24)</f>
        <v>64.3413333333333</v>
      </c>
      <c r="K205" s="12" t="n">
        <f aca="false">IF(B205&lt;=Notes!$B$26,A205,IF(WEEKDAY(A205)=7,A205+2,A205+1))</f>
        <v>45443</v>
      </c>
      <c r="L205" s="5" t="str">
        <f aca="false">IF(K205=A205,"Yes","No")</f>
        <v>No</v>
      </c>
      <c r="M205" s="5" t="str">
        <f aca="false">IF(E205="Express","No","Yes")</f>
        <v>Yes</v>
      </c>
      <c r="N205" s="5" t="n">
        <f aca="false">IF(M205="No",2*H205,0)</f>
        <v>0</v>
      </c>
      <c r="O205" s="14" t="n">
        <f aca="false">IF(N205=0,0,IF(G205="Matador",N205/Notes!$B$21*Notes!$B$22,N205/Notes!$B$23*Notes!$B$24))</f>
        <v>0</v>
      </c>
    </row>
    <row r="206" customFormat="false" ht="15" hidden="false" customHeight="false" outlineLevel="0" collapsed="false">
      <c r="A206" s="12" t="n">
        <v>45442</v>
      </c>
      <c r="B206" s="13" t="n">
        <v>0.690972222222222</v>
      </c>
      <c r="C206" s="5" t="s">
        <v>54</v>
      </c>
      <c r="D206" s="5" t="str">
        <f aca="false">VLOOKUP(C206,Areas!$A$2:$E$32,3,FALSE())</f>
        <v>Central</v>
      </c>
      <c r="E206" s="5" t="s">
        <v>139</v>
      </c>
      <c r="F206" s="5" t="s">
        <v>140</v>
      </c>
      <c r="G206" s="5" t="str">
        <f aca="false">IF(F206="Large","Matador","Scooter")</f>
        <v>Matador</v>
      </c>
      <c r="H206" s="5" t="n">
        <f aca="false">VLOOKUP(C206,Areas!$A$2:$E$32,4,FALSE())</f>
        <v>1</v>
      </c>
      <c r="I206" s="5" t="n">
        <f aca="false">2*H206</f>
        <v>2</v>
      </c>
      <c r="J206" s="14" t="n">
        <f aca="false">IF(G206="Matador",I206/Notes!$B$21*Notes!$B$22,I206/Notes!$B$23*Notes!$B$24)</f>
        <v>10.74125</v>
      </c>
      <c r="K206" s="12" t="n">
        <f aca="false">IF(B206&lt;=Notes!$B$26,A206,IF(WEEKDAY(A206)=7,A206+2,A206+1))</f>
        <v>45443</v>
      </c>
      <c r="L206" s="5" t="str">
        <f aca="false">IF(K206=A206,"Yes","No")</f>
        <v>No</v>
      </c>
      <c r="M206" s="5" t="str">
        <f aca="false">IF(E206="Express","No","Yes")</f>
        <v>No</v>
      </c>
      <c r="N206" s="5" t="n">
        <f aca="false">IF(M206="No",2*H206,0)</f>
        <v>2</v>
      </c>
      <c r="O206" s="14" t="n">
        <f aca="false">IF(N206=0,0,IF(G206="Matador",N206/Notes!$B$21*Notes!$B$22,N206/Notes!$B$23*Notes!$B$24))</f>
        <v>10.74125</v>
      </c>
    </row>
    <row r="207" customFormat="false" ht="15" hidden="false" customHeight="false" outlineLevel="0" collapsed="false">
      <c r="A207" s="12" t="n">
        <v>45442</v>
      </c>
      <c r="B207" s="13" t="n">
        <v>0.694444444444444</v>
      </c>
      <c r="C207" s="5" t="s">
        <v>91</v>
      </c>
      <c r="D207" s="5" t="str">
        <f aca="false">VLOOKUP(C207,Areas!$A$2:$E$32,3,FALSE())</f>
        <v>West</v>
      </c>
      <c r="E207" s="5" t="s">
        <v>139</v>
      </c>
      <c r="F207" s="5" t="s">
        <v>138</v>
      </c>
      <c r="G207" s="5" t="str">
        <f aca="false">IF(F207="Large","Matador","Scooter")</f>
        <v>Scooter</v>
      </c>
      <c r="H207" s="5" t="n">
        <f aca="false">VLOOKUP(C207,Areas!$A$2:$E$32,4,FALSE())</f>
        <v>4.5</v>
      </c>
      <c r="I207" s="5" t="n">
        <f aca="false">2*H207</f>
        <v>9</v>
      </c>
      <c r="J207" s="14" t="n">
        <f aca="false">IF(G207="Matador",I207/Notes!$B$21*Notes!$B$22,I207/Notes!$B$23*Notes!$B$24)</f>
        <v>19.968</v>
      </c>
      <c r="K207" s="12" t="n">
        <f aca="false">IF(B207&lt;=Notes!$B$26,A207,IF(WEEKDAY(A207)=7,A207+2,A207+1))</f>
        <v>45443</v>
      </c>
      <c r="L207" s="5" t="str">
        <f aca="false">IF(K207=A207,"Yes","No")</f>
        <v>No</v>
      </c>
      <c r="M207" s="5" t="str">
        <f aca="false">IF(E207="Express","No","Yes")</f>
        <v>No</v>
      </c>
      <c r="N207" s="5" t="n">
        <f aca="false">IF(M207="No",2*H207,0)</f>
        <v>9</v>
      </c>
      <c r="O207" s="14" t="n">
        <f aca="false">IF(N207=0,0,IF(G207="Matador",N207/Notes!$B$21*Notes!$B$22,N207/Notes!$B$23*Notes!$B$24))</f>
        <v>19.968</v>
      </c>
    </row>
    <row r="208" customFormat="false" ht="15" hidden="false" customHeight="false" outlineLevel="0" collapsed="false">
      <c r="A208" s="12" t="n">
        <v>45442</v>
      </c>
      <c r="B208" s="13" t="n">
        <v>0.791666666666667</v>
      </c>
      <c r="C208" s="5" t="s">
        <v>80</v>
      </c>
      <c r="D208" s="5" t="str">
        <f aca="false">VLOOKUP(C208,Areas!$A$2:$E$32,3,FALSE())</f>
        <v>South</v>
      </c>
      <c r="E208" s="5" t="s">
        <v>137</v>
      </c>
      <c r="F208" s="5" t="s">
        <v>138</v>
      </c>
      <c r="G208" s="5" t="str">
        <f aca="false">IF(F208="Large","Matador","Scooter")</f>
        <v>Scooter</v>
      </c>
      <c r="H208" s="5" t="n">
        <f aca="false">VLOOKUP(C208,Areas!$A$2:$E$32,4,FALSE())</f>
        <v>9.5</v>
      </c>
      <c r="I208" s="5" t="n">
        <f aca="false">2*H208</f>
        <v>19</v>
      </c>
      <c r="J208" s="14" t="n">
        <f aca="false">IF(G208="Matador",I208/Notes!$B$21*Notes!$B$22,I208/Notes!$B$23*Notes!$B$24)</f>
        <v>42.1546666666667</v>
      </c>
      <c r="K208" s="12" t="n">
        <f aca="false">IF(B208&lt;=Notes!$B$26,A208,IF(WEEKDAY(A208)=7,A208+2,A208+1))</f>
        <v>45443</v>
      </c>
      <c r="L208" s="5" t="str">
        <f aca="false">IF(K208=A208,"Yes","No")</f>
        <v>No</v>
      </c>
      <c r="M208" s="5" t="str">
        <f aca="false">IF(E208="Express","No","Yes")</f>
        <v>Yes</v>
      </c>
      <c r="N208" s="5" t="n">
        <f aca="false">IF(M208="No",2*H208,0)</f>
        <v>0</v>
      </c>
      <c r="O208" s="14" t="n">
        <f aca="false">IF(N208=0,0,IF(G208="Matador",N208/Notes!$B$21*Notes!$B$22,N208/Notes!$B$23*Notes!$B$24))</f>
        <v>0</v>
      </c>
    </row>
    <row r="209" customFormat="false" ht="15" hidden="false" customHeight="false" outlineLevel="0" collapsed="false">
      <c r="A209" s="12" t="n">
        <v>45443</v>
      </c>
      <c r="B209" s="13" t="n">
        <v>0.420138888888889</v>
      </c>
      <c r="C209" s="5" t="s">
        <v>76</v>
      </c>
      <c r="D209" s="5" t="str">
        <f aca="false">VLOOKUP(C209,Areas!$A$2:$E$32,3,FALSE())</f>
        <v>South</v>
      </c>
      <c r="E209" s="5" t="s">
        <v>137</v>
      </c>
      <c r="F209" s="5" t="s">
        <v>138</v>
      </c>
      <c r="G209" s="5" t="str">
        <f aca="false">IF(F209="Large","Matador","Scooter")</f>
        <v>Scooter</v>
      </c>
      <c r="H209" s="5" t="n">
        <f aca="false">VLOOKUP(C209,Areas!$A$2:$E$32,4,FALSE())</f>
        <v>7</v>
      </c>
      <c r="I209" s="5" t="n">
        <f aca="false">2*H209</f>
        <v>14</v>
      </c>
      <c r="J209" s="14" t="n">
        <f aca="false">IF(G209="Matador",I209/Notes!$B$21*Notes!$B$22,I209/Notes!$B$23*Notes!$B$24)</f>
        <v>31.0613333333333</v>
      </c>
      <c r="K209" s="12" t="n">
        <f aca="false">IF(B209&lt;=Notes!$B$26,A209,IF(WEEKDAY(A209)=7,A209+2,A209+1))</f>
        <v>45443</v>
      </c>
      <c r="L209" s="5" t="str">
        <f aca="false">IF(K209=A209,"Yes","No")</f>
        <v>Yes</v>
      </c>
      <c r="M209" s="5" t="str">
        <f aca="false">IF(E209="Express","No","Yes")</f>
        <v>Yes</v>
      </c>
      <c r="N209" s="5" t="n">
        <f aca="false">IF(M209="No",2*H209,0)</f>
        <v>0</v>
      </c>
      <c r="O209" s="14" t="n">
        <f aca="false">IF(N209=0,0,IF(G209="Matador",N209/Notes!$B$21*Notes!$B$22,N209/Notes!$B$23*Notes!$B$24))</f>
        <v>0</v>
      </c>
    </row>
    <row r="210" customFormat="false" ht="15" hidden="false" customHeight="false" outlineLevel="0" collapsed="false">
      <c r="A210" s="12" t="n">
        <v>45443</v>
      </c>
      <c r="B210" s="13" t="n">
        <v>0.434027777777778</v>
      </c>
      <c r="C210" s="5" t="s">
        <v>54</v>
      </c>
      <c r="D210" s="5" t="str">
        <f aca="false">VLOOKUP(C210,Areas!$A$2:$E$32,3,FALSE())</f>
        <v>Central</v>
      </c>
      <c r="E210" s="5" t="s">
        <v>137</v>
      </c>
      <c r="F210" s="5" t="s">
        <v>138</v>
      </c>
      <c r="G210" s="5" t="str">
        <f aca="false">IF(F210="Large","Matador","Scooter")</f>
        <v>Scooter</v>
      </c>
      <c r="H210" s="5" t="n">
        <f aca="false">VLOOKUP(C210,Areas!$A$2:$E$32,4,FALSE())</f>
        <v>1</v>
      </c>
      <c r="I210" s="5" t="n">
        <f aca="false">2*H210</f>
        <v>2</v>
      </c>
      <c r="J210" s="14" t="n">
        <f aca="false">IF(G210="Matador",I210/Notes!$B$21*Notes!$B$22,I210/Notes!$B$23*Notes!$B$24)</f>
        <v>4.43733333333333</v>
      </c>
      <c r="K210" s="12" t="n">
        <f aca="false">IF(B210&lt;=Notes!$B$26,A210,IF(WEEKDAY(A210)=7,A210+2,A210+1))</f>
        <v>45443</v>
      </c>
      <c r="L210" s="5" t="str">
        <f aca="false">IF(K210=A210,"Yes","No")</f>
        <v>Yes</v>
      </c>
      <c r="M210" s="5" t="str">
        <f aca="false">IF(E210="Express","No","Yes")</f>
        <v>Yes</v>
      </c>
      <c r="N210" s="5" t="n">
        <f aca="false">IF(M210="No",2*H210,0)</f>
        <v>0</v>
      </c>
      <c r="O210" s="14" t="n">
        <f aca="false">IF(N210=0,0,IF(G210="Matador",N210/Notes!$B$21*Notes!$B$22,N210/Notes!$B$23*Notes!$B$24))</f>
        <v>0</v>
      </c>
    </row>
    <row r="211" customFormat="false" ht="15" hidden="false" customHeight="false" outlineLevel="0" collapsed="false">
      <c r="A211" s="12" t="n">
        <v>45443</v>
      </c>
      <c r="B211" s="13" t="n">
        <v>0.458333333333333</v>
      </c>
      <c r="C211" s="5" t="s">
        <v>58</v>
      </c>
      <c r="D211" s="5" t="str">
        <f aca="false">VLOOKUP(C211,Areas!$A$2:$E$32,3,FALSE())</f>
        <v>Central</v>
      </c>
      <c r="E211" s="5" t="s">
        <v>137</v>
      </c>
      <c r="F211" s="5" t="s">
        <v>140</v>
      </c>
      <c r="G211" s="5" t="str">
        <f aca="false">IF(F211="Large","Matador","Scooter")</f>
        <v>Matador</v>
      </c>
      <c r="H211" s="5" t="n">
        <f aca="false">VLOOKUP(C211,Areas!$A$2:$E$32,4,FALSE())</f>
        <v>2</v>
      </c>
      <c r="I211" s="5" t="n">
        <f aca="false">2*H211</f>
        <v>4</v>
      </c>
      <c r="J211" s="14" t="n">
        <f aca="false">IF(G211="Matador",I211/Notes!$B$21*Notes!$B$22,I211/Notes!$B$23*Notes!$B$24)</f>
        <v>21.4825</v>
      </c>
      <c r="K211" s="12" t="n">
        <f aca="false">IF(B211&lt;=Notes!$B$26,A211,IF(WEEKDAY(A211)=7,A211+2,A211+1))</f>
        <v>45443</v>
      </c>
      <c r="L211" s="5" t="str">
        <f aca="false">IF(K211=A211,"Yes","No")</f>
        <v>Yes</v>
      </c>
      <c r="M211" s="5" t="str">
        <f aca="false">IF(E211="Express","No","Yes")</f>
        <v>Yes</v>
      </c>
      <c r="N211" s="5" t="n">
        <f aca="false">IF(M211="No",2*H211,0)</f>
        <v>0</v>
      </c>
      <c r="O211" s="14" t="n">
        <f aca="false">IF(N211=0,0,IF(G211="Matador",N211/Notes!$B$21*Notes!$B$22,N211/Notes!$B$23*Notes!$B$24))</f>
        <v>0</v>
      </c>
    </row>
    <row r="212" customFormat="false" ht="15" hidden="false" customHeight="false" outlineLevel="0" collapsed="false">
      <c r="A212" s="12" t="n">
        <v>45443</v>
      </c>
      <c r="B212" s="13" t="n">
        <v>0.479166666666667</v>
      </c>
      <c r="C212" s="5" t="s">
        <v>82</v>
      </c>
      <c r="D212" s="5" t="str">
        <f aca="false">VLOOKUP(C212,Areas!$A$2:$E$32,3,FALSE())</f>
        <v>South</v>
      </c>
      <c r="E212" s="5" t="s">
        <v>137</v>
      </c>
      <c r="F212" s="5" t="s">
        <v>140</v>
      </c>
      <c r="G212" s="5" t="str">
        <f aca="false">IF(F212="Large","Matador","Scooter")</f>
        <v>Matador</v>
      </c>
      <c r="H212" s="5" t="n">
        <f aca="false">VLOOKUP(C212,Areas!$A$2:$E$32,4,FALSE())</f>
        <v>11.5</v>
      </c>
      <c r="I212" s="5" t="n">
        <f aca="false">2*H212</f>
        <v>23</v>
      </c>
      <c r="J212" s="14" t="n">
        <f aca="false">IF(G212="Matador",I212/Notes!$B$21*Notes!$B$22,I212/Notes!$B$23*Notes!$B$24)</f>
        <v>123.524375</v>
      </c>
      <c r="K212" s="12" t="n">
        <f aca="false">IF(B212&lt;=Notes!$B$26,A212,IF(WEEKDAY(A212)=7,A212+2,A212+1))</f>
        <v>45443</v>
      </c>
      <c r="L212" s="5" t="str">
        <f aca="false">IF(K212=A212,"Yes","No")</f>
        <v>Yes</v>
      </c>
      <c r="M212" s="5" t="str">
        <f aca="false">IF(E212="Express","No","Yes")</f>
        <v>Yes</v>
      </c>
      <c r="N212" s="5" t="n">
        <f aca="false">IF(M212="No",2*H212,0)</f>
        <v>0</v>
      </c>
      <c r="O212" s="14" t="n">
        <f aca="false">IF(N212=0,0,IF(G212="Matador",N212/Notes!$B$21*Notes!$B$22,N212/Notes!$B$23*Notes!$B$24))</f>
        <v>0</v>
      </c>
    </row>
    <row r="213" customFormat="false" ht="15" hidden="false" customHeight="false" outlineLevel="0" collapsed="false">
      <c r="A213" s="12" t="n">
        <v>45443</v>
      </c>
      <c r="B213" s="13" t="n">
        <v>0.482638888888889</v>
      </c>
      <c r="C213" s="5" t="s">
        <v>78</v>
      </c>
      <c r="D213" s="5" t="str">
        <f aca="false">VLOOKUP(C213,Areas!$A$2:$E$32,3,FALSE())</f>
        <v>South</v>
      </c>
      <c r="E213" s="5" t="s">
        <v>139</v>
      </c>
      <c r="F213" s="5" t="s">
        <v>138</v>
      </c>
      <c r="G213" s="5" t="str">
        <f aca="false">IF(F213="Large","Matador","Scooter")</f>
        <v>Scooter</v>
      </c>
      <c r="H213" s="5" t="n">
        <f aca="false">VLOOKUP(C213,Areas!$A$2:$E$32,4,FALSE())</f>
        <v>9</v>
      </c>
      <c r="I213" s="5" t="n">
        <f aca="false">2*H213</f>
        <v>18</v>
      </c>
      <c r="J213" s="14" t="n">
        <f aca="false">IF(G213="Matador",I213/Notes!$B$21*Notes!$B$22,I213/Notes!$B$23*Notes!$B$24)</f>
        <v>39.936</v>
      </c>
      <c r="K213" s="12" t="n">
        <f aca="false">IF(B213&lt;=Notes!$B$26,A213,IF(WEEKDAY(A213)=7,A213+2,A213+1))</f>
        <v>45443</v>
      </c>
      <c r="L213" s="5" t="str">
        <f aca="false">IF(K213=A213,"Yes","No")</f>
        <v>Yes</v>
      </c>
      <c r="M213" s="5" t="str">
        <f aca="false">IF(E213="Express","No","Yes")</f>
        <v>No</v>
      </c>
      <c r="N213" s="5" t="n">
        <f aca="false">IF(M213="No",2*H213,0)</f>
        <v>18</v>
      </c>
      <c r="O213" s="14" t="n">
        <f aca="false">IF(N213=0,0,IF(G213="Matador",N213/Notes!$B$21*Notes!$B$22,N213/Notes!$B$23*Notes!$B$24))</f>
        <v>39.936</v>
      </c>
    </row>
    <row r="214" customFormat="false" ht="15" hidden="false" customHeight="false" outlineLevel="0" collapsed="false">
      <c r="A214" s="12" t="n">
        <v>45443</v>
      </c>
      <c r="B214" s="13" t="n">
        <v>0.541666666666667</v>
      </c>
      <c r="C214" s="5" t="s">
        <v>80</v>
      </c>
      <c r="D214" s="5" t="str">
        <f aca="false">VLOOKUP(C214,Areas!$A$2:$E$32,3,FALSE())</f>
        <v>South</v>
      </c>
      <c r="E214" s="5" t="s">
        <v>137</v>
      </c>
      <c r="F214" s="5" t="s">
        <v>138</v>
      </c>
      <c r="G214" s="5" t="str">
        <f aca="false">IF(F214="Large","Matador","Scooter")</f>
        <v>Scooter</v>
      </c>
      <c r="H214" s="5" t="n">
        <f aca="false">VLOOKUP(C214,Areas!$A$2:$E$32,4,FALSE())</f>
        <v>9.5</v>
      </c>
      <c r="I214" s="5" t="n">
        <f aca="false">2*H214</f>
        <v>19</v>
      </c>
      <c r="J214" s="14" t="n">
        <f aca="false">IF(G214="Matador",I214/Notes!$B$21*Notes!$B$22,I214/Notes!$B$23*Notes!$B$24)</f>
        <v>42.1546666666667</v>
      </c>
      <c r="K214" s="12" t="n">
        <f aca="false">IF(B214&lt;=Notes!$B$26,A214,IF(WEEKDAY(A214)=7,A214+2,A214+1))</f>
        <v>45443</v>
      </c>
      <c r="L214" s="5" t="str">
        <f aca="false">IF(K214=A214,"Yes","No")</f>
        <v>Yes</v>
      </c>
      <c r="M214" s="5" t="str">
        <f aca="false">IF(E214="Express","No","Yes")</f>
        <v>Yes</v>
      </c>
      <c r="N214" s="5" t="n">
        <f aca="false">IF(M214="No",2*H214,0)</f>
        <v>0</v>
      </c>
      <c r="O214" s="14" t="n">
        <f aca="false">IF(N214=0,0,IF(G214="Matador",N214/Notes!$B$21*Notes!$B$22,N214/Notes!$B$23*Notes!$B$24))</f>
        <v>0</v>
      </c>
    </row>
    <row r="215" customFormat="false" ht="15" hidden="false" customHeight="false" outlineLevel="0" collapsed="false">
      <c r="A215" s="12" t="n">
        <v>45443</v>
      </c>
      <c r="B215" s="13" t="n">
        <v>0.576388888888889</v>
      </c>
      <c r="C215" s="5" t="s">
        <v>58</v>
      </c>
      <c r="D215" s="5" t="str">
        <f aca="false">VLOOKUP(C215,Areas!$A$2:$E$32,3,FALSE())</f>
        <v>Central</v>
      </c>
      <c r="E215" s="5" t="s">
        <v>139</v>
      </c>
      <c r="F215" s="5" t="s">
        <v>138</v>
      </c>
      <c r="G215" s="5" t="str">
        <f aca="false">IF(F215="Large","Matador","Scooter")</f>
        <v>Scooter</v>
      </c>
      <c r="H215" s="5" t="n">
        <f aca="false">VLOOKUP(C215,Areas!$A$2:$E$32,4,FALSE())</f>
        <v>2</v>
      </c>
      <c r="I215" s="5" t="n">
        <f aca="false">2*H215</f>
        <v>4</v>
      </c>
      <c r="J215" s="14" t="n">
        <f aca="false">IF(G215="Matador",I215/Notes!$B$21*Notes!$B$22,I215/Notes!$B$23*Notes!$B$24)</f>
        <v>8.87466666666667</v>
      </c>
      <c r="K215" s="12" t="n">
        <f aca="false">IF(B215&lt;=Notes!$B$26,A215,IF(WEEKDAY(A215)=7,A215+2,A215+1))</f>
        <v>45444</v>
      </c>
      <c r="L215" s="5" t="str">
        <f aca="false">IF(K215=A215,"Yes","No")</f>
        <v>No</v>
      </c>
      <c r="M215" s="5" t="str">
        <f aca="false">IF(E215="Express","No","Yes")</f>
        <v>No</v>
      </c>
      <c r="N215" s="5" t="n">
        <f aca="false">IF(M215="No",2*H215,0)</f>
        <v>4</v>
      </c>
      <c r="O215" s="14" t="n">
        <f aca="false">IF(N215=0,0,IF(G215="Matador",N215/Notes!$B$21*Notes!$B$22,N215/Notes!$B$23*Notes!$B$24))</f>
        <v>8.87466666666667</v>
      </c>
    </row>
    <row r="216" customFormat="false" ht="15" hidden="false" customHeight="false" outlineLevel="0" collapsed="false">
      <c r="A216" s="12" t="n">
        <v>45443</v>
      </c>
      <c r="B216" s="13" t="n">
        <v>0.600694444444444</v>
      </c>
      <c r="C216" s="5" t="s">
        <v>66</v>
      </c>
      <c r="D216" s="5" t="str">
        <f aca="false">VLOOKUP(C216,Areas!$A$2:$E$32,3,FALSE())</f>
        <v>Central</v>
      </c>
      <c r="E216" s="5" t="s">
        <v>139</v>
      </c>
      <c r="F216" s="5" t="s">
        <v>138</v>
      </c>
      <c r="G216" s="5" t="str">
        <f aca="false">IF(F216="Large","Matador","Scooter")</f>
        <v>Scooter</v>
      </c>
      <c r="H216" s="5" t="n">
        <f aca="false">VLOOKUP(C216,Areas!$A$2:$E$32,4,FALSE())</f>
        <v>6</v>
      </c>
      <c r="I216" s="5" t="n">
        <f aca="false">2*H216</f>
        <v>12</v>
      </c>
      <c r="J216" s="14" t="n">
        <f aca="false">IF(G216="Matador",I216/Notes!$B$21*Notes!$B$22,I216/Notes!$B$23*Notes!$B$24)</f>
        <v>26.624</v>
      </c>
      <c r="K216" s="12" t="n">
        <f aca="false">IF(B216&lt;=Notes!$B$26,A216,IF(WEEKDAY(A216)=7,A216+2,A216+1))</f>
        <v>45444</v>
      </c>
      <c r="L216" s="5" t="str">
        <f aca="false">IF(K216=A216,"Yes","No")</f>
        <v>No</v>
      </c>
      <c r="M216" s="5" t="str">
        <f aca="false">IF(E216="Express","No","Yes")</f>
        <v>No</v>
      </c>
      <c r="N216" s="5" t="n">
        <f aca="false">IF(M216="No",2*H216,0)</f>
        <v>12</v>
      </c>
      <c r="O216" s="14" t="n">
        <f aca="false">IF(N216=0,0,IF(G216="Matador",N216/Notes!$B$21*Notes!$B$22,N216/Notes!$B$23*Notes!$B$24))</f>
        <v>26.624</v>
      </c>
    </row>
    <row r="217" customFormat="false" ht="15" hidden="false" customHeight="false" outlineLevel="0" collapsed="false">
      <c r="A217" s="12" t="n">
        <v>45443</v>
      </c>
      <c r="B217" s="13" t="n">
        <v>0.736111111111111</v>
      </c>
      <c r="C217" s="5" t="s">
        <v>102</v>
      </c>
      <c r="D217" s="5" t="str">
        <f aca="false">VLOOKUP(C217,Areas!$A$2:$E$32,3,FALSE())</f>
        <v>North</v>
      </c>
      <c r="E217" s="5" t="s">
        <v>137</v>
      </c>
      <c r="F217" s="5" t="s">
        <v>140</v>
      </c>
      <c r="G217" s="5" t="str">
        <f aca="false">IF(F217="Large","Matador","Scooter")</f>
        <v>Matador</v>
      </c>
      <c r="H217" s="5" t="n">
        <f aca="false">VLOOKUP(C217,Areas!$A$2:$E$32,4,FALSE())</f>
        <v>11</v>
      </c>
      <c r="I217" s="5" t="n">
        <f aca="false">2*H217</f>
        <v>22</v>
      </c>
      <c r="J217" s="14" t="n">
        <f aca="false">IF(G217="Matador",I217/Notes!$B$21*Notes!$B$22,I217/Notes!$B$23*Notes!$B$24)</f>
        <v>118.15375</v>
      </c>
      <c r="K217" s="12" t="n">
        <f aca="false">IF(B217&lt;=Notes!$B$26,A217,IF(WEEKDAY(A217)=7,A217+2,A217+1))</f>
        <v>45444</v>
      </c>
      <c r="L217" s="5" t="str">
        <f aca="false">IF(K217=A217,"Yes","No")</f>
        <v>No</v>
      </c>
      <c r="M217" s="5" t="str">
        <f aca="false">IF(E217="Express","No","Yes")</f>
        <v>Yes</v>
      </c>
      <c r="N217" s="5" t="n">
        <f aca="false">IF(M217="No",2*H217,0)</f>
        <v>0</v>
      </c>
      <c r="O217" s="14" t="n">
        <f aca="false">IF(N217=0,0,IF(G217="Matador",N217/Notes!$B$21*Notes!$B$22,N217/Notes!$B$23*Notes!$B$24))</f>
        <v>0</v>
      </c>
    </row>
    <row r="218" customFormat="false" ht="15" hidden="false" customHeight="false" outlineLevel="0" collapsed="false">
      <c r="A218" s="12" t="n">
        <v>45443</v>
      </c>
      <c r="B218" s="13" t="n">
        <v>0.78125</v>
      </c>
      <c r="C218" s="5" t="s">
        <v>82</v>
      </c>
      <c r="D218" s="5" t="str">
        <f aca="false">VLOOKUP(C218,Areas!$A$2:$E$32,3,FALSE())</f>
        <v>South</v>
      </c>
      <c r="E218" s="5" t="s">
        <v>137</v>
      </c>
      <c r="F218" s="5" t="s">
        <v>140</v>
      </c>
      <c r="G218" s="5" t="str">
        <f aca="false">IF(F218="Large","Matador","Scooter")</f>
        <v>Matador</v>
      </c>
      <c r="H218" s="5" t="n">
        <f aca="false">VLOOKUP(C218,Areas!$A$2:$E$32,4,FALSE())</f>
        <v>11.5</v>
      </c>
      <c r="I218" s="5" t="n">
        <f aca="false">2*H218</f>
        <v>23</v>
      </c>
      <c r="J218" s="14" t="n">
        <f aca="false">IF(G218="Matador",I218/Notes!$B$21*Notes!$B$22,I218/Notes!$B$23*Notes!$B$24)</f>
        <v>123.524375</v>
      </c>
      <c r="K218" s="12" t="n">
        <f aca="false">IF(B218&lt;=Notes!$B$26,A218,IF(WEEKDAY(A218)=7,A218+2,A218+1))</f>
        <v>45444</v>
      </c>
      <c r="L218" s="5" t="str">
        <f aca="false">IF(K218=A218,"Yes","No")</f>
        <v>No</v>
      </c>
      <c r="M218" s="5" t="str">
        <f aca="false">IF(E218="Express","No","Yes")</f>
        <v>Yes</v>
      </c>
      <c r="N218" s="5" t="n">
        <f aca="false">IF(M218="No",2*H218,0)</f>
        <v>0</v>
      </c>
      <c r="O218" s="14" t="n">
        <f aca="false">IF(N218=0,0,IF(G218="Matador",N218/Notes!$B$21*Notes!$B$22,N218/Notes!$B$23*Notes!$B$24))</f>
        <v>0</v>
      </c>
    </row>
    <row r="219" customFormat="false" ht="15" hidden="false" customHeight="false" outlineLevel="0" collapsed="false">
      <c r="A219" s="12" t="n">
        <v>45444</v>
      </c>
      <c r="B219" s="13" t="n">
        <v>0.434027777777778</v>
      </c>
      <c r="C219" s="5" t="s">
        <v>54</v>
      </c>
      <c r="D219" s="5" t="str">
        <f aca="false">VLOOKUP(C219,Areas!$A$2:$E$32,3,FALSE())</f>
        <v>Central</v>
      </c>
      <c r="E219" s="5" t="s">
        <v>139</v>
      </c>
      <c r="F219" s="5" t="s">
        <v>138</v>
      </c>
      <c r="G219" s="5" t="str">
        <f aca="false">IF(F219="Large","Matador","Scooter")</f>
        <v>Scooter</v>
      </c>
      <c r="H219" s="5" t="n">
        <f aca="false">VLOOKUP(C219,Areas!$A$2:$E$32,4,FALSE())</f>
        <v>1</v>
      </c>
      <c r="I219" s="5" t="n">
        <f aca="false">2*H219</f>
        <v>2</v>
      </c>
      <c r="J219" s="14" t="n">
        <f aca="false">IF(G219="Matador",I219/Notes!$B$21*Notes!$B$22,I219/Notes!$B$23*Notes!$B$24)</f>
        <v>4.43733333333333</v>
      </c>
      <c r="K219" s="12" t="n">
        <f aca="false">IF(B219&lt;=Notes!$B$26,A219,IF(WEEKDAY(A219)=7,A219+2,A219+1))</f>
        <v>45444</v>
      </c>
      <c r="L219" s="5" t="str">
        <f aca="false">IF(K219=A219,"Yes","No")</f>
        <v>Yes</v>
      </c>
      <c r="M219" s="5" t="str">
        <f aca="false">IF(E219="Express","No","Yes")</f>
        <v>No</v>
      </c>
      <c r="N219" s="5" t="n">
        <f aca="false">IF(M219="No",2*H219,0)</f>
        <v>2</v>
      </c>
      <c r="O219" s="14" t="n">
        <f aca="false">IF(N219=0,0,IF(G219="Matador",N219/Notes!$B$21*Notes!$B$22,N219/Notes!$B$23*Notes!$B$24))</f>
        <v>4.43733333333333</v>
      </c>
    </row>
    <row r="220" customFormat="false" ht="15" hidden="false" customHeight="false" outlineLevel="0" collapsed="false">
      <c r="A220" s="12" t="n">
        <v>45444</v>
      </c>
      <c r="B220" s="13" t="n">
        <v>0.486111111111111</v>
      </c>
      <c r="C220" s="5" t="s">
        <v>60</v>
      </c>
      <c r="D220" s="5" t="str">
        <f aca="false">VLOOKUP(C220,Areas!$A$2:$E$32,3,FALSE())</f>
        <v>Central</v>
      </c>
      <c r="E220" s="5" t="s">
        <v>137</v>
      </c>
      <c r="F220" s="5" t="s">
        <v>140</v>
      </c>
      <c r="G220" s="5" t="str">
        <f aca="false">IF(F220="Large","Matador","Scooter")</f>
        <v>Matador</v>
      </c>
      <c r="H220" s="5" t="n">
        <f aca="false">VLOOKUP(C220,Areas!$A$2:$E$32,4,FALSE())</f>
        <v>2</v>
      </c>
      <c r="I220" s="5" t="n">
        <f aca="false">2*H220</f>
        <v>4</v>
      </c>
      <c r="J220" s="14" t="n">
        <f aca="false">IF(G220="Matador",I220/Notes!$B$21*Notes!$B$22,I220/Notes!$B$23*Notes!$B$24)</f>
        <v>21.4825</v>
      </c>
      <c r="K220" s="12" t="n">
        <f aca="false">IF(B220&lt;=Notes!$B$26,A220,IF(WEEKDAY(A220)=7,A220+2,A220+1))</f>
        <v>45444</v>
      </c>
      <c r="L220" s="5" t="str">
        <f aca="false">IF(K220=A220,"Yes","No")</f>
        <v>Yes</v>
      </c>
      <c r="M220" s="5" t="str">
        <f aca="false">IF(E220="Express","No","Yes")</f>
        <v>Yes</v>
      </c>
      <c r="N220" s="5" t="n">
        <f aca="false">IF(M220="No",2*H220,0)</f>
        <v>0</v>
      </c>
      <c r="O220" s="14" t="n">
        <f aca="false">IF(N220=0,0,IF(G220="Matador",N220/Notes!$B$21*Notes!$B$22,N220/Notes!$B$23*Notes!$B$24))</f>
        <v>0</v>
      </c>
    </row>
    <row r="221" customFormat="false" ht="15" hidden="false" customHeight="false" outlineLevel="0" collapsed="false">
      <c r="A221" s="12" t="n">
        <v>45444</v>
      </c>
      <c r="B221" s="13" t="n">
        <v>0.527777777777778</v>
      </c>
      <c r="C221" s="5" t="s">
        <v>91</v>
      </c>
      <c r="D221" s="5" t="str">
        <f aca="false">VLOOKUP(C221,Areas!$A$2:$E$32,3,FALSE())</f>
        <v>West</v>
      </c>
      <c r="E221" s="5" t="s">
        <v>139</v>
      </c>
      <c r="F221" s="5" t="s">
        <v>138</v>
      </c>
      <c r="G221" s="5" t="str">
        <f aca="false">IF(F221="Large","Matador","Scooter")</f>
        <v>Scooter</v>
      </c>
      <c r="H221" s="5" t="n">
        <f aca="false">VLOOKUP(C221,Areas!$A$2:$E$32,4,FALSE())</f>
        <v>4.5</v>
      </c>
      <c r="I221" s="5" t="n">
        <f aca="false">2*H221</f>
        <v>9</v>
      </c>
      <c r="J221" s="14" t="n">
        <f aca="false">IF(G221="Matador",I221/Notes!$B$21*Notes!$B$22,I221/Notes!$B$23*Notes!$B$24)</f>
        <v>19.968</v>
      </c>
      <c r="K221" s="12" t="n">
        <f aca="false">IF(B221&lt;=Notes!$B$26,A221,IF(WEEKDAY(A221)=7,A221+2,A221+1))</f>
        <v>45444</v>
      </c>
      <c r="L221" s="5" t="str">
        <f aca="false">IF(K221=A221,"Yes","No")</f>
        <v>Yes</v>
      </c>
      <c r="M221" s="5" t="str">
        <f aca="false">IF(E221="Express","No","Yes")</f>
        <v>No</v>
      </c>
      <c r="N221" s="5" t="n">
        <f aca="false">IF(M221="No",2*H221,0)</f>
        <v>9</v>
      </c>
      <c r="O221" s="14" t="n">
        <f aca="false">IF(N221=0,0,IF(G221="Matador",N221/Notes!$B$21*Notes!$B$22,N221/Notes!$B$23*Notes!$B$24))</f>
        <v>19.968</v>
      </c>
    </row>
    <row r="222" customFormat="false" ht="15" hidden="false" customHeight="false" outlineLevel="0" collapsed="false">
      <c r="A222" s="12" t="n">
        <v>45444</v>
      </c>
      <c r="B222" s="13" t="n">
        <v>0.548611111111111</v>
      </c>
      <c r="C222" s="5" t="s">
        <v>91</v>
      </c>
      <c r="D222" s="5" t="str">
        <f aca="false">VLOOKUP(C222,Areas!$A$2:$E$32,3,FALSE())</f>
        <v>West</v>
      </c>
      <c r="E222" s="5" t="s">
        <v>139</v>
      </c>
      <c r="F222" s="5" t="s">
        <v>138</v>
      </c>
      <c r="G222" s="5" t="str">
        <f aca="false">IF(F222="Large","Matador","Scooter")</f>
        <v>Scooter</v>
      </c>
      <c r="H222" s="5" t="n">
        <f aca="false">VLOOKUP(C222,Areas!$A$2:$E$32,4,FALSE())</f>
        <v>4.5</v>
      </c>
      <c r="I222" s="5" t="n">
        <f aca="false">2*H222</f>
        <v>9</v>
      </c>
      <c r="J222" s="14" t="n">
        <f aca="false">IF(G222="Matador",I222/Notes!$B$21*Notes!$B$22,I222/Notes!$B$23*Notes!$B$24)</f>
        <v>19.968</v>
      </c>
      <c r="K222" s="12" t="n">
        <f aca="false">IF(B222&lt;=Notes!$B$26,A222,IF(WEEKDAY(A222)=7,A222+2,A222+1))</f>
        <v>45446</v>
      </c>
      <c r="L222" s="5" t="str">
        <f aca="false">IF(K222=A222,"Yes","No")</f>
        <v>No</v>
      </c>
      <c r="M222" s="5" t="str">
        <f aca="false">IF(E222="Express","No","Yes")</f>
        <v>No</v>
      </c>
      <c r="N222" s="5" t="n">
        <f aca="false">IF(M222="No",2*H222,0)</f>
        <v>9</v>
      </c>
      <c r="O222" s="14" t="n">
        <f aca="false">IF(N222=0,0,IF(G222="Matador",N222/Notes!$B$21*Notes!$B$22,N222/Notes!$B$23*Notes!$B$24))</f>
        <v>19.968</v>
      </c>
    </row>
    <row r="223" customFormat="false" ht="15" hidden="false" customHeight="false" outlineLevel="0" collapsed="false">
      <c r="A223" s="12" t="n">
        <v>45444</v>
      </c>
      <c r="B223" s="13" t="n">
        <v>0.559027777777778</v>
      </c>
      <c r="C223" s="5" t="s">
        <v>95</v>
      </c>
      <c r="D223" s="5" t="str">
        <f aca="false">VLOOKUP(C223,Areas!$A$2:$E$32,3,FALSE())</f>
        <v>West</v>
      </c>
      <c r="E223" s="5" t="s">
        <v>137</v>
      </c>
      <c r="F223" s="5" t="s">
        <v>138</v>
      </c>
      <c r="G223" s="5" t="str">
        <f aca="false">IF(F223="Large","Matador","Scooter")</f>
        <v>Scooter</v>
      </c>
      <c r="H223" s="5" t="n">
        <f aca="false">VLOOKUP(C223,Areas!$A$2:$E$32,4,FALSE())</f>
        <v>9</v>
      </c>
      <c r="I223" s="5" t="n">
        <f aca="false">2*H223</f>
        <v>18</v>
      </c>
      <c r="J223" s="14" t="n">
        <f aca="false">IF(G223="Matador",I223/Notes!$B$21*Notes!$B$22,I223/Notes!$B$23*Notes!$B$24)</f>
        <v>39.936</v>
      </c>
      <c r="K223" s="12" t="n">
        <f aca="false">IF(B223&lt;=Notes!$B$26,A223,IF(WEEKDAY(A223)=7,A223+2,A223+1))</f>
        <v>45446</v>
      </c>
      <c r="L223" s="5" t="str">
        <f aca="false">IF(K223=A223,"Yes","No")</f>
        <v>No</v>
      </c>
      <c r="M223" s="5" t="str">
        <f aca="false">IF(E223="Express","No","Yes")</f>
        <v>Yes</v>
      </c>
      <c r="N223" s="5" t="n">
        <f aca="false">IF(M223="No",2*H223,0)</f>
        <v>0</v>
      </c>
      <c r="O223" s="14" t="n">
        <f aca="false">IF(N223=0,0,IF(G223="Matador",N223/Notes!$B$21*Notes!$B$22,N223/Notes!$B$23*Notes!$B$24))</f>
        <v>0</v>
      </c>
    </row>
    <row r="224" customFormat="false" ht="15" hidden="false" customHeight="false" outlineLevel="0" collapsed="false">
      <c r="A224" s="12" t="n">
        <v>45444</v>
      </c>
      <c r="B224" s="13" t="n">
        <v>0.604166666666667</v>
      </c>
      <c r="C224" s="5" t="s">
        <v>74</v>
      </c>
      <c r="D224" s="5" t="str">
        <f aca="false">VLOOKUP(C224,Areas!$A$2:$E$32,3,FALSE())</f>
        <v>South</v>
      </c>
      <c r="E224" s="5" t="s">
        <v>137</v>
      </c>
      <c r="F224" s="5" t="s">
        <v>140</v>
      </c>
      <c r="G224" s="5" t="str">
        <f aca="false">IF(F224="Large","Matador","Scooter")</f>
        <v>Matador</v>
      </c>
      <c r="H224" s="5" t="n">
        <f aca="false">VLOOKUP(C224,Areas!$A$2:$E$32,4,FALSE())</f>
        <v>2.5</v>
      </c>
      <c r="I224" s="5" t="n">
        <f aca="false">2*H224</f>
        <v>5</v>
      </c>
      <c r="J224" s="14" t="n">
        <f aca="false">IF(G224="Matador",I224/Notes!$B$21*Notes!$B$22,I224/Notes!$B$23*Notes!$B$24)</f>
        <v>26.853125</v>
      </c>
      <c r="K224" s="12" t="n">
        <f aca="false">IF(B224&lt;=Notes!$B$26,A224,IF(WEEKDAY(A224)=7,A224+2,A224+1))</f>
        <v>45446</v>
      </c>
      <c r="L224" s="5" t="str">
        <f aca="false">IF(K224=A224,"Yes","No")</f>
        <v>No</v>
      </c>
      <c r="M224" s="5" t="str">
        <f aca="false">IF(E224="Express","No","Yes")</f>
        <v>Yes</v>
      </c>
      <c r="N224" s="5" t="n">
        <f aca="false">IF(M224="No",2*H224,0)</f>
        <v>0</v>
      </c>
      <c r="O224" s="14" t="n">
        <f aca="false">IF(N224=0,0,IF(G224="Matador",N224/Notes!$B$21*Notes!$B$22,N224/Notes!$B$23*Notes!$B$24))</f>
        <v>0</v>
      </c>
    </row>
    <row r="225" customFormat="false" ht="15" hidden="false" customHeight="false" outlineLevel="0" collapsed="false">
      <c r="A225" s="12" t="n">
        <v>45444</v>
      </c>
      <c r="B225" s="13" t="n">
        <v>0.666666666666667</v>
      </c>
      <c r="C225" s="5" t="s">
        <v>104</v>
      </c>
      <c r="D225" s="5" t="str">
        <f aca="false">VLOOKUP(C225,Areas!$A$2:$E$32,3,FALSE())</f>
        <v>North</v>
      </c>
      <c r="E225" s="5" t="s">
        <v>139</v>
      </c>
      <c r="F225" s="5" t="s">
        <v>140</v>
      </c>
      <c r="G225" s="5" t="str">
        <f aca="false">IF(F225="Large","Matador","Scooter")</f>
        <v>Matador</v>
      </c>
      <c r="H225" s="5" t="n">
        <f aca="false">VLOOKUP(C225,Areas!$A$2:$E$32,4,FALSE())</f>
        <v>12.5</v>
      </c>
      <c r="I225" s="5" t="n">
        <f aca="false">2*H225</f>
        <v>25</v>
      </c>
      <c r="J225" s="14" t="n">
        <f aca="false">IF(G225="Matador",I225/Notes!$B$21*Notes!$B$22,I225/Notes!$B$23*Notes!$B$24)</f>
        <v>134.265625</v>
      </c>
      <c r="K225" s="12" t="n">
        <f aca="false">IF(B225&lt;=Notes!$B$26,A225,IF(WEEKDAY(A225)=7,A225+2,A225+1))</f>
        <v>45446</v>
      </c>
      <c r="L225" s="5" t="str">
        <f aca="false">IF(K225=A225,"Yes","No")</f>
        <v>No</v>
      </c>
      <c r="M225" s="5" t="str">
        <f aca="false">IF(E225="Express","No","Yes")</f>
        <v>No</v>
      </c>
      <c r="N225" s="5" t="n">
        <f aca="false">IF(M225="No",2*H225,0)</f>
        <v>25</v>
      </c>
      <c r="O225" s="14" t="n">
        <f aca="false">IF(N225=0,0,IF(G225="Matador",N225/Notes!$B$21*Notes!$B$22,N225/Notes!$B$23*Notes!$B$24))</f>
        <v>134.265625</v>
      </c>
    </row>
    <row r="227" customFormat="false" ht="15" hidden="false" customHeight="false" outlineLevel="0" collapsed="false">
      <c r="A227" s="15" t="s">
        <v>141</v>
      </c>
    </row>
  </sheetData>
  <autoFilter ref="A1:O2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9"/>
  </cols>
  <sheetData>
    <row r="1" customFormat="false" ht="41.75" hidden="false" customHeight="false" outlineLevel="0" collapsed="false">
      <c r="A1" s="7" t="s">
        <v>132</v>
      </c>
      <c r="B1" s="7" t="s">
        <v>50</v>
      </c>
      <c r="C1" s="7" t="s">
        <v>128</v>
      </c>
      <c r="D1" s="7" t="s">
        <v>142</v>
      </c>
      <c r="E1" s="7" t="s">
        <v>143</v>
      </c>
      <c r="F1" s="7" t="s">
        <v>144</v>
      </c>
      <c r="G1" s="7" t="s">
        <v>145</v>
      </c>
      <c r="H1" s="7" t="s">
        <v>146</v>
      </c>
      <c r="I1" s="7" t="s">
        <v>147</v>
      </c>
      <c r="J1" s="7" t="s">
        <v>148</v>
      </c>
      <c r="K1" s="7" t="s">
        <v>149</v>
      </c>
    </row>
    <row r="2" customFormat="false" ht="15" hidden="false" customHeight="false" outlineLevel="0" collapsed="false">
      <c r="A2" s="12" t="n">
        <v>45418</v>
      </c>
      <c r="B2" s="5" t="s">
        <v>56</v>
      </c>
      <c r="C2" s="5" t="s">
        <v>150</v>
      </c>
      <c r="D2" s="5" t="n">
        <f aca="false">COUNTIFS('Pickup log'!$K$2:$K$225,A2,'Pickup log'!$D$2:$D$225,B2,'Pickup log'!$G$2:$G$225,C2)</f>
        <v>1</v>
      </c>
      <c r="E2" s="5" t="n">
        <f aca="false">IF(D2=0,0,_xlfn.MAXIFS('Pickup log'!$H$2:$H$225,'Pickup log'!$K$2:$K$225,A2,'Pickup log'!$D$2:$D$225,B2,'Pickup log'!$G$2:$G$225,C2))</f>
        <v>3</v>
      </c>
      <c r="F2" s="5" t="n">
        <f aca="false">IF(D2=0,0,2*E2+Notes!$B$25*(D2-1))</f>
        <v>6</v>
      </c>
      <c r="G2" s="14" t="n">
        <f aca="false">IF(C2="Matador",F2/Notes!$B$21*Notes!$B$22,F2/Notes!$B$23*Notes!$B$24)</f>
        <v>13.312</v>
      </c>
      <c r="H2" s="5" t="n">
        <f aca="false">COUNTIFS('Pickup log'!$K$2:$K$225,A2,'Pickup log'!$D$2:$D$225,B2,'Pickup log'!$G$2:$G$225,C2,'Pickup log'!$E$2:$E$225,"Economy")</f>
        <v>1</v>
      </c>
      <c r="I2" s="5" t="n">
        <f aca="false">IF(H2=0,0,_xlfn.MAXIFS('Pickup log'!$H$2:$H$225,'Pickup log'!$K$2:$K$225,A2,'Pickup log'!$D$2:$D$225,B2,'Pickup log'!$G$2:$G$225,C2,'Pickup log'!$E$2:$E$225,"Economy"))</f>
        <v>3</v>
      </c>
      <c r="J2" s="5" t="n">
        <f aca="false">IF(H2=0,0,2*I2+Notes!$B$25*(H2-1))</f>
        <v>6</v>
      </c>
      <c r="K2" s="14" t="n">
        <f aca="false">IF(C2="Matador",J2/Notes!$B$21*Notes!$B$22,J2/Notes!$B$23*Notes!$B$24)</f>
        <v>13.312</v>
      </c>
    </row>
    <row r="3" customFormat="false" ht="15" hidden="false" customHeight="false" outlineLevel="0" collapsed="false">
      <c r="A3" s="12" t="n">
        <v>45418</v>
      </c>
      <c r="B3" s="5" t="s">
        <v>56</v>
      </c>
      <c r="C3" s="5" t="s">
        <v>151</v>
      </c>
      <c r="D3" s="5" t="n">
        <f aca="false">COUNTIFS('Pickup log'!$K$2:$K$225,A3,'Pickup log'!$D$2:$D$225,B3,'Pickup log'!$G$2:$G$225,C3)</f>
        <v>0</v>
      </c>
      <c r="E3" s="5" t="n">
        <f aca="false">IF(D3=0,0,_xlfn.MAXIFS('Pickup log'!$H$2:$H$225,'Pickup log'!$K$2:$K$225,A3,'Pickup log'!$D$2:$D$225,B3,'Pickup log'!$G$2:$G$225,C3))</f>
        <v>0</v>
      </c>
      <c r="F3" s="5" t="n">
        <f aca="false">IF(D3=0,0,2*E3+Notes!$B$25*(D3-1))</f>
        <v>0</v>
      </c>
      <c r="G3" s="14" t="n">
        <f aca="false">IF(C3="Matador",F3/Notes!$B$21*Notes!$B$22,F3/Notes!$B$23*Notes!$B$24)</f>
        <v>0</v>
      </c>
      <c r="H3" s="5" t="n">
        <f aca="false">COUNTIFS('Pickup log'!$K$2:$K$225,A3,'Pickup log'!$D$2:$D$225,B3,'Pickup log'!$G$2:$G$225,C3,'Pickup log'!$E$2:$E$225,"Economy")</f>
        <v>0</v>
      </c>
      <c r="I3" s="5" t="n">
        <f aca="false">IF(H3=0,0,_xlfn.MAXIFS('Pickup log'!$H$2:$H$225,'Pickup log'!$K$2:$K$225,A3,'Pickup log'!$D$2:$D$225,B3,'Pickup log'!$G$2:$G$225,C3,'Pickup log'!$E$2:$E$225,"Economy"))</f>
        <v>0</v>
      </c>
      <c r="J3" s="5" t="n">
        <f aca="false">IF(H3=0,0,2*I3+Notes!$B$25*(H3-1))</f>
        <v>0</v>
      </c>
      <c r="K3" s="14" t="n">
        <f aca="false">IF(C3="Matador",J3/Notes!$B$21*Notes!$B$22,J3/Notes!$B$23*Notes!$B$24)</f>
        <v>0</v>
      </c>
    </row>
    <row r="4" customFormat="false" ht="15" hidden="false" customHeight="false" outlineLevel="0" collapsed="false">
      <c r="A4" s="12" t="n">
        <v>45418</v>
      </c>
      <c r="B4" s="5" t="s">
        <v>73</v>
      </c>
      <c r="C4" s="5" t="s">
        <v>150</v>
      </c>
      <c r="D4" s="5" t="n">
        <f aca="false">COUNTIFS('Pickup log'!$K$2:$K$225,A4,'Pickup log'!$D$2:$D$225,B4,'Pickup log'!$G$2:$G$225,C4)</f>
        <v>0</v>
      </c>
      <c r="E4" s="5" t="n">
        <f aca="false">IF(D4=0,0,_xlfn.MAXIFS('Pickup log'!$H$2:$H$225,'Pickup log'!$K$2:$K$225,A4,'Pickup log'!$D$2:$D$225,B4,'Pickup log'!$G$2:$G$225,C4))</f>
        <v>0</v>
      </c>
      <c r="F4" s="5" t="n">
        <f aca="false">IF(D4=0,0,2*E4+Notes!$B$25*(D4-1))</f>
        <v>0</v>
      </c>
      <c r="G4" s="14" t="n">
        <f aca="false">IF(C4="Matador",F4/Notes!$B$21*Notes!$B$22,F4/Notes!$B$23*Notes!$B$24)</f>
        <v>0</v>
      </c>
      <c r="H4" s="5" t="n">
        <f aca="false">COUNTIFS('Pickup log'!$K$2:$K$225,A4,'Pickup log'!$D$2:$D$225,B4,'Pickup log'!$G$2:$G$225,C4,'Pickup log'!$E$2:$E$225,"Economy")</f>
        <v>0</v>
      </c>
      <c r="I4" s="5" t="n">
        <f aca="false">IF(H4=0,0,_xlfn.MAXIFS('Pickup log'!$H$2:$H$225,'Pickup log'!$K$2:$K$225,A4,'Pickup log'!$D$2:$D$225,B4,'Pickup log'!$G$2:$G$225,C4,'Pickup log'!$E$2:$E$225,"Economy"))</f>
        <v>0</v>
      </c>
      <c r="J4" s="5" t="n">
        <f aca="false">IF(H4=0,0,2*I4+Notes!$B$25*(H4-1))</f>
        <v>0</v>
      </c>
      <c r="K4" s="14" t="n">
        <f aca="false">IF(C4="Matador",J4/Notes!$B$21*Notes!$B$22,J4/Notes!$B$23*Notes!$B$24)</f>
        <v>0</v>
      </c>
    </row>
    <row r="5" customFormat="false" ht="15" hidden="false" customHeight="false" outlineLevel="0" collapsed="false">
      <c r="A5" s="12" t="n">
        <v>45418</v>
      </c>
      <c r="B5" s="5" t="s">
        <v>73</v>
      </c>
      <c r="C5" s="5" t="s">
        <v>151</v>
      </c>
      <c r="D5" s="5" t="n">
        <f aca="false">COUNTIFS('Pickup log'!$K$2:$K$225,A5,'Pickup log'!$D$2:$D$225,B5,'Pickup log'!$G$2:$G$225,C5)</f>
        <v>0</v>
      </c>
      <c r="E5" s="5" t="n">
        <f aca="false">IF(D5=0,0,_xlfn.MAXIFS('Pickup log'!$H$2:$H$225,'Pickup log'!$K$2:$K$225,A5,'Pickup log'!$D$2:$D$225,B5,'Pickup log'!$G$2:$G$225,C5))</f>
        <v>0</v>
      </c>
      <c r="F5" s="5" t="n">
        <f aca="false">IF(D5=0,0,2*E5+Notes!$B$25*(D5-1))</f>
        <v>0</v>
      </c>
      <c r="G5" s="14" t="n">
        <f aca="false">IF(C5="Matador",F5/Notes!$B$21*Notes!$B$22,F5/Notes!$B$23*Notes!$B$24)</f>
        <v>0</v>
      </c>
      <c r="H5" s="5" t="n">
        <f aca="false">COUNTIFS('Pickup log'!$K$2:$K$225,A5,'Pickup log'!$D$2:$D$225,B5,'Pickup log'!$G$2:$G$225,C5,'Pickup log'!$E$2:$E$225,"Economy")</f>
        <v>0</v>
      </c>
      <c r="I5" s="5" t="n">
        <f aca="false">IF(H5=0,0,_xlfn.MAXIFS('Pickup log'!$H$2:$H$225,'Pickup log'!$K$2:$K$225,A5,'Pickup log'!$D$2:$D$225,B5,'Pickup log'!$G$2:$G$225,C5,'Pickup log'!$E$2:$E$225,"Economy"))</f>
        <v>0</v>
      </c>
      <c r="J5" s="5" t="n">
        <f aca="false">IF(H5=0,0,2*I5+Notes!$B$25*(H5-1))</f>
        <v>0</v>
      </c>
      <c r="K5" s="14" t="n">
        <f aca="false">IF(C5="Matador",J5/Notes!$B$21*Notes!$B$22,J5/Notes!$B$23*Notes!$B$24)</f>
        <v>0</v>
      </c>
    </row>
    <row r="6" customFormat="false" ht="15" hidden="false" customHeight="false" outlineLevel="0" collapsed="false">
      <c r="A6" s="12" t="n">
        <v>45418</v>
      </c>
      <c r="B6" s="5" t="s">
        <v>90</v>
      </c>
      <c r="C6" s="5" t="s">
        <v>150</v>
      </c>
      <c r="D6" s="5" t="n">
        <f aca="false">COUNTIFS('Pickup log'!$K$2:$K$225,A6,'Pickup log'!$D$2:$D$225,B6,'Pickup log'!$G$2:$G$225,C6)</f>
        <v>1</v>
      </c>
      <c r="E6" s="5" t="n">
        <f aca="false">IF(D6=0,0,_xlfn.MAXIFS('Pickup log'!$H$2:$H$225,'Pickup log'!$K$2:$K$225,A6,'Pickup log'!$D$2:$D$225,B6,'Pickup log'!$G$2:$G$225,C6))</f>
        <v>5.5</v>
      </c>
      <c r="F6" s="5" t="n">
        <f aca="false">IF(D6=0,0,2*E6+Notes!$B$25*(D6-1))</f>
        <v>11</v>
      </c>
      <c r="G6" s="14" t="n">
        <f aca="false">IF(C6="Matador",F6/Notes!$B$21*Notes!$B$22,F6/Notes!$B$23*Notes!$B$24)</f>
        <v>24.4053333333333</v>
      </c>
      <c r="H6" s="5" t="n">
        <f aca="false">COUNTIFS('Pickup log'!$K$2:$K$225,A6,'Pickup log'!$D$2:$D$225,B6,'Pickup log'!$G$2:$G$225,C6,'Pickup log'!$E$2:$E$225,"Economy")</f>
        <v>1</v>
      </c>
      <c r="I6" s="5" t="n">
        <f aca="false">IF(H6=0,0,_xlfn.MAXIFS('Pickup log'!$H$2:$H$225,'Pickup log'!$K$2:$K$225,A6,'Pickup log'!$D$2:$D$225,B6,'Pickup log'!$G$2:$G$225,C6,'Pickup log'!$E$2:$E$225,"Economy"))</f>
        <v>5.5</v>
      </c>
      <c r="J6" s="5" t="n">
        <f aca="false">IF(H6=0,0,2*I6+Notes!$B$25*(H6-1))</f>
        <v>11</v>
      </c>
      <c r="K6" s="14" t="n">
        <f aca="false">IF(C6="Matador",J6/Notes!$B$21*Notes!$B$22,J6/Notes!$B$23*Notes!$B$24)</f>
        <v>24.4053333333333</v>
      </c>
    </row>
    <row r="7" customFormat="false" ht="15" hidden="false" customHeight="false" outlineLevel="0" collapsed="false">
      <c r="A7" s="12" t="n">
        <v>45418</v>
      </c>
      <c r="B7" s="5" t="s">
        <v>90</v>
      </c>
      <c r="C7" s="5" t="s">
        <v>151</v>
      </c>
      <c r="D7" s="5" t="n">
        <f aca="false">COUNTIFS('Pickup log'!$K$2:$K$225,A7,'Pickup log'!$D$2:$D$225,B7,'Pickup log'!$G$2:$G$225,C7)</f>
        <v>1</v>
      </c>
      <c r="E7" s="5" t="n">
        <f aca="false">IF(D7=0,0,_xlfn.MAXIFS('Pickup log'!$H$2:$H$225,'Pickup log'!$K$2:$K$225,A7,'Pickup log'!$D$2:$D$225,B7,'Pickup log'!$G$2:$G$225,C7))</f>
        <v>13.5</v>
      </c>
      <c r="F7" s="5" t="n">
        <f aca="false">IF(D7=0,0,2*E7+Notes!$B$25*(D7-1))</f>
        <v>27</v>
      </c>
      <c r="G7" s="14" t="n">
        <f aca="false">IF(C7="Matador",F7/Notes!$B$21*Notes!$B$22,F7/Notes!$B$23*Notes!$B$24)</f>
        <v>145.006875</v>
      </c>
      <c r="H7" s="5" t="n">
        <f aca="false">COUNTIFS('Pickup log'!$K$2:$K$225,A7,'Pickup log'!$D$2:$D$225,B7,'Pickup log'!$G$2:$G$225,C7,'Pickup log'!$E$2:$E$225,"Economy")</f>
        <v>1</v>
      </c>
      <c r="I7" s="5" t="n">
        <f aca="false">IF(H7=0,0,_xlfn.MAXIFS('Pickup log'!$H$2:$H$225,'Pickup log'!$K$2:$K$225,A7,'Pickup log'!$D$2:$D$225,B7,'Pickup log'!$G$2:$G$225,C7,'Pickup log'!$E$2:$E$225,"Economy"))</f>
        <v>13.5</v>
      </c>
      <c r="J7" s="5" t="n">
        <f aca="false">IF(H7=0,0,2*I7+Notes!$B$25*(H7-1))</f>
        <v>27</v>
      </c>
      <c r="K7" s="14" t="n">
        <f aca="false">IF(C7="Matador",J7/Notes!$B$21*Notes!$B$22,J7/Notes!$B$23*Notes!$B$24)</f>
        <v>145.006875</v>
      </c>
    </row>
    <row r="8" customFormat="false" ht="15" hidden="false" customHeight="false" outlineLevel="0" collapsed="false">
      <c r="A8" s="12" t="n">
        <v>45418</v>
      </c>
      <c r="B8" s="5" t="s">
        <v>101</v>
      </c>
      <c r="C8" s="5" t="s">
        <v>150</v>
      </c>
      <c r="D8" s="5" t="n">
        <f aca="false">COUNTIFS('Pickup log'!$K$2:$K$225,A8,'Pickup log'!$D$2:$D$225,B8,'Pickup log'!$G$2:$G$225,C8)</f>
        <v>1</v>
      </c>
      <c r="E8" s="5" t="n">
        <f aca="false">IF(D8=0,0,_xlfn.MAXIFS('Pickup log'!$H$2:$H$225,'Pickup log'!$K$2:$K$225,A8,'Pickup log'!$D$2:$D$225,B8,'Pickup log'!$G$2:$G$225,C8))</f>
        <v>11</v>
      </c>
      <c r="F8" s="5" t="n">
        <f aca="false">IF(D8=0,0,2*E8+Notes!$B$25*(D8-1))</f>
        <v>22</v>
      </c>
      <c r="G8" s="14" t="n">
        <f aca="false">IF(C8="Matador",F8/Notes!$B$21*Notes!$B$22,F8/Notes!$B$23*Notes!$B$24)</f>
        <v>48.8106666666667</v>
      </c>
      <c r="H8" s="5" t="n">
        <f aca="false">COUNTIFS('Pickup log'!$K$2:$K$225,A8,'Pickup log'!$D$2:$D$225,B8,'Pickup log'!$G$2:$G$225,C8,'Pickup log'!$E$2:$E$225,"Economy")</f>
        <v>0</v>
      </c>
      <c r="I8" s="5" t="n">
        <f aca="false">IF(H8=0,0,_xlfn.MAXIFS('Pickup log'!$H$2:$H$225,'Pickup log'!$K$2:$K$225,A8,'Pickup log'!$D$2:$D$225,B8,'Pickup log'!$G$2:$G$225,C8,'Pickup log'!$E$2:$E$225,"Economy"))</f>
        <v>0</v>
      </c>
      <c r="J8" s="5" t="n">
        <f aca="false">IF(H8=0,0,2*I8+Notes!$B$25*(H8-1))</f>
        <v>0</v>
      </c>
      <c r="K8" s="14" t="n">
        <f aca="false">IF(C8="Matador",J8/Notes!$B$21*Notes!$B$22,J8/Notes!$B$23*Notes!$B$24)</f>
        <v>0</v>
      </c>
    </row>
    <row r="9" customFormat="false" ht="15" hidden="false" customHeight="false" outlineLevel="0" collapsed="false">
      <c r="A9" s="12" t="n">
        <v>45418</v>
      </c>
      <c r="B9" s="5" t="s">
        <v>101</v>
      </c>
      <c r="C9" s="5" t="s">
        <v>151</v>
      </c>
      <c r="D9" s="5" t="n">
        <f aca="false">COUNTIFS('Pickup log'!$K$2:$K$225,A9,'Pickup log'!$D$2:$D$225,B9,'Pickup log'!$G$2:$G$225,C9)</f>
        <v>0</v>
      </c>
      <c r="E9" s="5" t="n">
        <f aca="false">IF(D9=0,0,_xlfn.MAXIFS('Pickup log'!$H$2:$H$225,'Pickup log'!$K$2:$K$225,A9,'Pickup log'!$D$2:$D$225,B9,'Pickup log'!$G$2:$G$225,C9))</f>
        <v>0</v>
      </c>
      <c r="F9" s="5" t="n">
        <f aca="false">IF(D9=0,0,2*E9+Notes!$B$25*(D9-1))</f>
        <v>0</v>
      </c>
      <c r="G9" s="14" t="n">
        <f aca="false">IF(C9="Matador",F9/Notes!$B$21*Notes!$B$22,F9/Notes!$B$23*Notes!$B$24)</f>
        <v>0</v>
      </c>
      <c r="H9" s="5" t="n">
        <f aca="false">COUNTIFS('Pickup log'!$K$2:$K$225,A9,'Pickup log'!$D$2:$D$225,B9,'Pickup log'!$G$2:$G$225,C9,'Pickup log'!$E$2:$E$225,"Economy")</f>
        <v>0</v>
      </c>
      <c r="I9" s="5" t="n">
        <f aca="false">IF(H9=0,0,_xlfn.MAXIFS('Pickup log'!$H$2:$H$225,'Pickup log'!$K$2:$K$225,A9,'Pickup log'!$D$2:$D$225,B9,'Pickup log'!$G$2:$G$225,C9,'Pickup log'!$E$2:$E$225,"Economy"))</f>
        <v>0</v>
      </c>
      <c r="J9" s="5" t="n">
        <f aca="false">IF(H9=0,0,2*I9+Notes!$B$25*(H9-1))</f>
        <v>0</v>
      </c>
      <c r="K9" s="14" t="n">
        <f aca="false">IF(C9="Matador",J9/Notes!$B$21*Notes!$B$22,J9/Notes!$B$23*Notes!$B$24)</f>
        <v>0</v>
      </c>
    </row>
    <row r="10" customFormat="false" ht="15" hidden="false" customHeight="false" outlineLevel="0" collapsed="false">
      <c r="A10" s="12" t="n">
        <v>45418</v>
      </c>
      <c r="B10" s="5" t="s">
        <v>114</v>
      </c>
      <c r="C10" s="5" t="s">
        <v>150</v>
      </c>
      <c r="D10" s="5" t="n">
        <f aca="false">COUNTIFS('Pickup log'!$K$2:$K$225,A10,'Pickup log'!$D$2:$D$225,B10,'Pickup log'!$G$2:$G$225,C10)</f>
        <v>0</v>
      </c>
      <c r="E10" s="5" t="n">
        <f aca="false">IF(D10=0,0,_xlfn.MAXIFS('Pickup log'!$H$2:$H$225,'Pickup log'!$K$2:$K$225,A10,'Pickup log'!$D$2:$D$225,B10,'Pickup log'!$G$2:$G$225,C10))</f>
        <v>0</v>
      </c>
      <c r="F10" s="5" t="n">
        <f aca="false">IF(D10=0,0,2*E10+Notes!$B$25*(D10-1))</f>
        <v>0</v>
      </c>
      <c r="G10" s="14" t="n">
        <f aca="false">IF(C10="Matador",F10/Notes!$B$21*Notes!$B$22,F10/Notes!$B$23*Notes!$B$24)</f>
        <v>0</v>
      </c>
      <c r="H10" s="5" t="n">
        <f aca="false">COUNTIFS('Pickup log'!$K$2:$K$225,A10,'Pickup log'!$D$2:$D$225,B10,'Pickup log'!$G$2:$G$225,C10,'Pickup log'!$E$2:$E$225,"Economy")</f>
        <v>0</v>
      </c>
      <c r="I10" s="5" t="n">
        <f aca="false">IF(H10=0,0,_xlfn.MAXIFS('Pickup log'!$H$2:$H$225,'Pickup log'!$K$2:$K$225,A10,'Pickup log'!$D$2:$D$225,B10,'Pickup log'!$G$2:$G$225,C10,'Pickup log'!$E$2:$E$225,"Economy"))</f>
        <v>0</v>
      </c>
      <c r="J10" s="5" t="n">
        <f aca="false">IF(H10=0,0,2*I10+Notes!$B$25*(H10-1))</f>
        <v>0</v>
      </c>
      <c r="K10" s="14" t="n">
        <f aca="false">IF(C10="Matador",J10/Notes!$B$21*Notes!$B$22,J10/Notes!$B$23*Notes!$B$24)</f>
        <v>0</v>
      </c>
    </row>
    <row r="11" customFormat="false" ht="15" hidden="false" customHeight="false" outlineLevel="0" collapsed="false">
      <c r="A11" s="12" t="n">
        <v>45418</v>
      </c>
      <c r="B11" s="5" t="s">
        <v>114</v>
      </c>
      <c r="C11" s="5" t="s">
        <v>151</v>
      </c>
      <c r="D11" s="5" t="n">
        <f aca="false">COUNTIFS('Pickup log'!$K$2:$K$225,A11,'Pickup log'!$D$2:$D$225,B11,'Pickup log'!$G$2:$G$225,C11)</f>
        <v>0</v>
      </c>
      <c r="E11" s="5" t="n">
        <f aca="false">IF(D11=0,0,_xlfn.MAXIFS('Pickup log'!$H$2:$H$225,'Pickup log'!$K$2:$K$225,A11,'Pickup log'!$D$2:$D$225,B11,'Pickup log'!$G$2:$G$225,C11))</f>
        <v>0</v>
      </c>
      <c r="F11" s="5" t="n">
        <f aca="false">IF(D11=0,0,2*E11+Notes!$B$25*(D11-1))</f>
        <v>0</v>
      </c>
      <c r="G11" s="14" t="n">
        <f aca="false">IF(C11="Matador",F11/Notes!$B$21*Notes!$B$22,F11/Notes!$B$23*Notes!$B$24)</f>
        <v>0</v>
      </c>
      <c r="H11" s="5" t="n">
        <f aca="false">COUNTIFS('Pickup log'!$K$2:$K$225,A11,'Pickup log'!$D$2:$D$225,B11,'Pickup log'!$G$2:$G$225,C11,'Pickup log'!$E$2:$E$225,"Economy")</f>
        <v>0</v>
      </c>
      <c r="I11" s="5" t="n">
        <f aca="false">IF(H11=0,0,_xlfn.MAXIFS('Pickup log'!$H$2:$H$225,'Pickup log'!$K$2:$K$225,A11,'Pickup log'!$D$2:$D$225,B11,'Pickup log'!$G$2:$G$225,C11,'Pickup log'!$E$2:$E$225,"Economy"))</f>
        <v>0</v>
      </c>
      <c r="J11" s="5" t="n">
        <f aca="false">IF(H11=0,0,2*I11+Notes!$B$25*(H11-1))</f>
        <v>0</v>
      </c>
      <c r="K11" s="14" t="n">
        <f aca="false">IF(C11="Matador",J11/Notes!$B$21*Notes!$B$22,J11/Notes!$B$23*Notes!$B$24)</f>
        <v>0</v>
      </c>
    </row>
    <row r="12" customFormat="false" ht="15" hidden="false" customHeight="false" outlineLevel="0" collapsed="false">
      <c r="A12" s="12" t="n">
        <v>45419</v>
      </c>
      <c r="B12" s="5" t="s">
        <v>56</v>
      </c>
      <c r="C12" s="5" t="s">
        <v>150</v>
      </c>
      <c r="D12" s="5" t="n">
        <f aca="false">COUNTIFS('Pickup log'!$K$2:$K$225,A12,'Pickup log'!$D$2:$D$225,B12,'Pickup log'!$G$2:$G$225,C12)</f>
        <v>1</v>
      </c>
      <c r="E12" s="5" t="n">
        <f aca="false">IF(D12=0,0,_xlfn.MAXIFS('Pickup log'!$H$2:$H$225,'Pickup log'!$K$2:$K$225,A12,'Pickup log'!$D$2:$D$225,B12,'Pickup log'!$G$2:$G$225,C12))</f>
        <v>4.5</v>
      </c>
      <c r="F12" s="5" t="n">
        <f aca="false">IF(D12=0,0,2*E12+Notes!$B$25*(D12-1))</f>
        <v>9</v>
      </c>
      <c r="G12" s="14" t="n">
        <f aca="false">IF(C12="Matador",F12/Notes!$B$21*Notes!$B$22,F12/Notes!$B$23*Notes!$B$24)</f>
        <v>19.968</v>
      </c>
      <c r="H12" s="5" t="n">
        <f aca="false">COUNTIFS('Pickup log'!$K$2:$K$225,A12,'Pickup log'!$D$2:$D$225,B12,'Pickup log'!$G$2:$G$225,C12,'Pickup log'!$E$2:$E$225,"Economy")</f>
        <v>0</v>
      </c>
      <c r="I12" s="5" t="n">
        <f aca="false">IF(H12=0,0,_xlfn.MAXIFS('Pickup log'!$H$2:$H$225,'Pickup log'!$K$2:$K$225,A12,'Pickup log'!$D$2:$D$225,B12,'Pickup log'!$G$2:$G$225,C12,'Pickup log'!$E$2:$E$225,"Economy"))</f>
        <v>0</v>
      </c>
      <c r="J12" s="5" t="n">
        <f aca="false">IF(H12=0,0,2*I12+Notes!$B$25*(H12-1))</f>
        <v>0</v>
      </c>
      <c r="K12" s="14" t="n">
        <f aca="false">IF(C12="Matador",J12/Notes!$B$21*Notes!$B$22,J12/Notes!$B$23*Notes!$B$24)</f>
        <v>0</v>
      </c>
    </row>
    <row r="13" customFormat="false" ht="15" hidden="false" customHeight="false" outlineLevel="0" collapsed="false">
      <c r="A13" s="12" t="n">
        <v>45419</v>
      </c>
      <c r="B13" s="5" t="s">
        <v>56</v>
      </c>
      <c r="C13" s="5" t="s">
        <v>151</v>
      </c>
      <c r="D13" s="5" t="n">
        <f aca="false">COUNTIFS('Pickup log'!$K$2:$K$225,A13,'Pickup log'!$D$2:$D$225,B13,'Pickup log'!$G$2:$G$225,C13)</f>
        <v>1</v>
      </c>
      <c r="E13" s="5" t="n">
        <f aca="false">IF(D13=0,0,_xlfn.MAXIFS('Pickup log'!$H$2:$H$225,'Pickup log'!$K$2:$K$225,A13,'Pickup log'!$D$2:$D$225,B13,'Pickup log'!$G$2:$G$225,C13))</f>
        <v>2</v>
      </c>
      <c r="F13" s="5" t="n">
        <f aca="false">IF(D13=0,0,2*E13+Notes!$B$25*(D13-1))</f>
        <v>4</v>
      </c>
      <c r="G13" s="14" t="n">
        <f aca="false">IF(C13="Matador",F13/Notes!$B$21*Notes!$B$22,F13/Notes!$B$23*Notes!$B$24)</f>
        <v>21.4825</v>
      </c>
      <c r="H13" s="5" t="n">
        <f aca="false">COUNTIFS('Pickup log'!$K$2:$K$225,A13,'Pickup log'!$D$2:$D$225,B13,'Pickup log'!$G$2:$G$225,C13,'Pickup log'!$E$2:$E$225,"Economy")</f>
        <v>1</v>
      </c>
      <c r="I13" s="5" t="n">
        <f aca="false">IF(H13=0,0,_xlfn.MAXIFS('Pickup log'!$H$2:$H$225,'Pickup log'!$K$2:$K$225,A13,'Pickup log'!$D$2:$D$225,B13,'Pickup log'!$G$2:$G$225,C13,'Pickup log'!$E$2:$E$225,"Economy"))</f>
        <v>2</v>
      </c>
      <c r="J13" s="5" t="n">
        <f aca="false">IF(H13=0,0,2*I13+Notes!$B$25*(H13-1))</f>
        <v>4</v>
      </c>
      <c r="K13" s="14" t="n">
        <f aca="false">IF(C13="Matador",J13/Notes!$B$21*Notes!$B$22,J13/Notes!$B$23*Notes!$B$24)</f>
        <v>21.4825</v>
      </c>
    </row>
    <row r="14" customFormat="false" ht="15" hidden="false" customHeight="false" outlineLevel="0" collapsed="false">
      <c r="A14" s="12" t="n">
        <v>45419</v>
      </c>
      <c r="B14" s="5" t="s">
        <v>73</v>
      </c>
      <c r="C14" s="5" t="s">
        <v>150</v>
      </c>
      <c r="D14" s="5" t="n">
        <f aca="false">COUNTIFS('Pickup log'!$K$2:$K$225,A14,'Pickup log'!$D$2:$D$225,B14,'Pickup log'!$G$2:$G$225,C14)</f>
        <v>5</v>
      </c>
      <c r="E14" s="5" t="n">
        <f aca="false">IF(D14=0,0,_xlfn.MAXIFS('Pickup log'!$H$2:$H$225,'Pickup log'!$K$2:$K$225,A14,'Pickup log'!$D$2:$D$225,B14,'Pickup log'!$G$2:$G$225,C14))</f>
        <v>9.5</v>
      </c>
      <c r="F14" s="5" t="n">
        <f aca="false">IF(D14=0,0,2*E14+Notes!$B$25*(D14-1))</f>
        <v>27</v>
      </c>
      <c r="G14" s="14" t="n">
        <f aca="false">IF(C14="Matador",F14/Notes!$B$21*Notes!$B$22,F14/Notes!$B$23*Notes!$B$24)</f>
        <v>59.904</v>
      </c>
      <c r="H14" s="5" t="n">
        <f aca="false">COUNTIFS('Pickup log'!$K$2:$K$225,A14,'Pickup log'!$D$2:$D$225,B14,'Pickup log'!$G$2:$G$225,C14,'Pickup log'!$E$2:$E$225,"Economy")</f>
        <v>3</v>
      </c>
      <c r="I14" s="5" t="n">
        <f aca="false">IF(H14=0,0,_xlfn.MAXIFS('Pickup log'!$H$2:$H$225,'Pickup log'!$K$2:$K$225,A14,'Pickup log'!$D$2:$D$225,B14,'Pickup log'!$G$2:$G$225,C14,'Pickup log'!$E$2:$E$225,"Economy"))</f>
        <v>9.5</v>
      </c>
      <c r="J14" s="5" t="n">
        <f aca="false">IF(H14=0,0,2*I14+Notes!$B$25*(H14-1))</f>
        <v>23</v>
      </c>
      <c r="K14" s="14" t="n">
        <f aca="false">IF(C14="Matador",J14/Notes!$B$21*Notes!$B$22,J14/Notes!$B$23*Notes!$B$24)</f>
        <v>51.0293333333333</v>
      </c>
    </row>
    <row r="15" customFormat="false" ht="15" hidden="false" customHeight="false" outlineLevel="0" collapsed="false">
      <c r="A15" s="12" t="n">
        <v>45419</v>
      </c>
      <c r="B15" s="5" t="s">
        <v>73</v>
      </c>
      <c r="C15" s="5" t="s">
        <v>151</v>
      </c>
      <c r="D15" s="5" t="n">
        <f aca="false">COUNTIFS('Pickup log'!$K$2:$K$225,A15,'Pickup log'!$D$2:$D$225,B15,'Pickup log'!$G$2:$G$225,C15)</f>
        <v>0</v>
      </c>
      <c r="E15" s="5" t="n">
        <f aca="false">IF(D15=0,0,_xlfn.MAXIFS('Pickup log'!$H$2:$H$225,'Pickup log'!$K$2:$K$225,A15,'Pickup log'!$D$2:$D$225,B15,'Pickup log'!$G$2:$G$225,C15))</f>
        <v>0</v>
      </c>
      <c r="F15" s="5" t="n">
        <f aca="false">IF(D15=0,0,2*E15+Notes!$B$25*(D15-1))</f>
        <v>0</v>
      </c>
      <c r="G15" s="14" t="n">
        <f aca="false">IF(C15="Matador",F15/Notes!$B$21*Notes!$B$22,F15/Notes!$B$23*Notes!$B$24)</f>
        <v>0</v>
      </c>
      <c r="H15" s="5" t="n">
        <f aca="false">COUNTIFS('Pickup log'!$K$2:$K$225,A15,'Pickup log'!$D$2:$D$225,B15,'Pickup log'!$G$2:$G$225,C15,'Pickup log'!$E$2:$E$225,"Economy")</f>
        <v>0</v>
      </c>
      <c r="I15" s="5" t="n">
        <f aca="false">IF(H15=0,0,_xlfn.MAXIFS('Pickup log'!$H$2:$H$225,'Pickup log'!$K$2:$K$225,A15,'Pickup log'!$D$2:$D$225,B15,'Pickup log'!$G$2:$G$225,C15,'Pickup log'!$E$2:$E$225,"Economy"))</f>
        <v>0</v>
      </c>
      <c r="J15" s="5" t="n">
        <f aca="false">IF(H15=0,0,2*I15+Notes!$B$25*(H15-1))</f>
        <v>0</v>
      </c>
      <c r="K15" s="14" t="n">
        <f aca="false">IF(C15="Matador",J15/Notes!$B$21*Notes!$B$22,J15/Notes!$B$23*Notes!$B$24)</f>
        <v>0</v>
      </c>
    </row>
    <row r="16" customFormat="false" ht="15" hidden="false" customHeight="false" outlineLevel="0" collapsed="false">
      <c r="A16" s="12" t="n">
        <v>45419</v>
      </c>
      <c r="B16" s="5" t="s">
        <v>90</v>
      </c>
      <c r="C16" s="5" t="s">
        <v>150</v>
      </c>
      <c r="D16" s="5" t="n">
        <f aca="false">COUNTIFS('Pickup log'!$K$2:$K$225,A16,'Pickup log'!$D$2:$D$225,B16,'Pickup log'!$G$2:$G$225,C16)</f>
        <v>2</v>
      </c>
      <c r="E16" s="5" t="n">
        <f aca="false">IF(D16=0,0,_xlfn.MAXIFS('Pickup log'!$H$2:$H$225,'Pickup log'!$K$2:$K$225,A16,'Pickup log'!$D$2:$D$225,B16,'Pickup log'!$G$2:$G$225,C16))</f>
        <v>13.5</v>
      </c>
      <c r="F16" s="5" t="n">
        <f aca="false">IF(D16=0,0,2*E16+Notes!$B$25*(D16-1))</f>
        <v>29</v>
      </c>
      <c r="G16" s="14" t="n">
        <f aca="false">IF(C16="Matador",F16/Notes!$B$21*Notes!$B$22,F16/Notes!$B$23*Notes!$B$24)</f>
        <v>64.3413333333333</v>
      </c>
      <c r="H16" s="5" t="n">
        <f aca="false">COUNTIFS('Pickup log'!$K$2:$K$225,A16,'Pickup log'!$D$2:$D$225,B16,'Pickup log'!$G$2:$G$225,C16,'Pickup log'!$E$2:$E$225,"Economy")</f>
        <v>2</v>
      </c>
      <c r="I16" s="5" t="n">
        <f aca="false">IF(H16=0,0,_xlfn.MAXIFS('Pickup log'!$H$2:$H$225,'Pickup log'!$K$2:$K$225,A16,'Pickup log'!$D$2:$D$225,B16,'Pickup log'!$G$2:$G$225,C16,'Pickup log'!$E$2:$E$225,"Economy"))</f>
        <v>13.5</v>
      </c>
      <c r="J16" s="5" t="n">
        <f aca="false">IF(H16=0,0,2*I16+Notes!$B$25*(H16-1))</f>
        <v>29</v>
      </c>
      <c r="K16" s="14" t="n">
        <f aca="false">IF(C16="Matador",J16/Notes!$B$21*Notes!$B$22,J16/Notes!$B$23*Notes!$B$24)</f>
        <v>64.3413333333333</v>
      </c>
    </row>
    <row r="17" customFormat="false" ht="15" hidden="false" customHeight="false" outlineLevel="0" collapsed="false">
      <c r="A17" s="12" t="n">
        <v>45419</v>
      </c>
      <c r="B17" s="5" t="s">
        <v>90</v>
      </c>
      <c r="C17" s="5" t="s">
        <v>151</v>
      </c>
      <c r="D17" s="5" t="n">
        <f aca="false">COUNTIFS('Pickup log'!$K$2:$K$225,A17,'Pickup log'!$D$2:$D$225,B17,'Pickup log'!$G$2:$G$225,C17)</f>
        <v>0</v>
      </c>
      <c r="E17" s="5" t="n">
        <f aca="false">IF(D17=0,0,_xlfn.MAXIFS('Pickup log'!$H$2:$H$225,'Pickup log'!$K$2:$K$225,A17,'Pickup log'!$D$2:$D$225,B17,'Pickup log'!$G$2:$G$225,C17))</f>
        <v>0</v>
      </c>
      <c r="F17" s="5" t="n">
        <f aca="false">IF(D17=0,0,2*E17+Notes!$B$25*(D17-1))</f>
        <v>0</v>
      </c>
      <c r="G17" s="14" t="n">
        <f aca="false">IF(C17="Matador",F17/Notes!$B$21*Notes!$B$22,F17/Notes!$B$23*Notes!$B$24)</f>
        <v>0</v>
      </c>
      <c r="H17" s="5" t="n">
        <f aca="false">COUNTIFS('Pickup log'!$K$2:$K$225,A17,'Pickup log'!$D$2:$D$225,B17,'Pickup log'!$G$2:$G$225,C17,'Pickup log'!$E$2:$E$225,"Economy")</f>
        <v>0</v>
      </c>
      <c r="I17" s="5" t="n">
        <f aca="false">IF(H17=0,0,_xlfn.MAXIFS('Pickup log'!$H$2:$H$225,'Pickup log'!$K$2:$K$225,A17,'Pickup log'!$D$2:$D$225,B17,'Pickup log'!$G$2:$G$225,C17,'Pickup log'!$E$2:$E$225,"Economy"))</f>
        <v>0</v>
      </c>
      <c r="J17" s="5" t="n">
        <f aca="false">IF(H17=0,0,2*I17+Notes!$B$25*(H17-1))</f>
        <v>0</v>
      </c>
      <c r="K17" s="14" t="n">
        <f aca="false">IF(C17="Matador",J17/Notes!$B$21*Notes!$B$22,J17/Notes!$B$23*Notes!$B$24)</f>
        <v>0</v>
      </c>
    </row>
    <row r="18" customFormat="false" ht="15" hidden="false" customHeight="false" outlineLevel="0" collapsed="false">
      <c r="A18" s="12" t="n">
        <v>45419</v>
      </c>
      <c r="B18" s="5" t="s">
        <v>101</v>
      </c>
      <c r="C18" s="5" t="s">
        <v>150</v>
      </c>
      <c r="D18" s="5" t="n">
        <f aca="false">COUNTIFS('Pickup log'!$K$2:$K$225,A18,'Pickup log'!$D$2:$D$225,B18,'Pickup log'!$G$2:$G$225,C18)</f>
        <v>1</v>
      </c>
      <c r="E18" s="5" t="n">
        <f aca="false">IF(D18=0,0,_xlfn.MAXIFS('Pickup log'!$H$2:$H$225,'Pickup log'!$K$2:$K$225,A18,'Pickup log'!$D$2:$D$225,B18,'Pickup log'!$G$2:$G$225,C18))</f>
        <v>6.5</v>
      </c>
      <c r="F18" s="5" t="n">
        <f aca="false">IF(D18=0,0,2*E18+Notes!$B$25*(D18-1))</f>
        <v>13</v>
      </c>
      <c r="G18" s="14" t="n">
        <f aca="false">IF(C18="Matador",F18/Notes!$B$21*Notes!$B$22,F18/Notes!$B$23*Notes!$B$24)</f>
        <v>28.8426666666667</v>
      </c>
      <c r="H18" s="5" t="n">
        <f aca="false">COUNTIFS('Pickup log'!$K$2:$K$225,A18,'Pickup log'!$D$2:$D$225,B18,'Pickup log'!$G$2:$G$225,C18,'Pickup log'!$E$2:$E$225,"Economy")</f>
        <v>1</v>
      </c>
      <c r="I18" s="5" t="n">
        <f aca="false">IF(H18=0,0,_xlfn.MAXIFS('Pickup log'!$H$2:$H$225,'Pickup log'!$K$2:$K$225,A18,'Pickup log'!$D$2:$D$225,B18,'Pickup log'!$G$2:$G$225,C18,'Pickup log'!$E$2:$E$225,"Economy"))</f>
        <v>6.5</v>
      </c>
      <c r="J18" s="5" t="n">
        <f aca="false">IF(H18=0,0,2*I18+Notes!$B$25*(H18-1))</f>
        <v>13</v>
      </c>
      <c r="K18" s="14" t="n">
        <f aca="false">IF(C18="Matador",J18/Notes!$B$21*Notes!$B$22,J18/Notes!$B$23*Notes!$B$24)</f>
        <v>28.8426666666667</v>
      </c>
    </row>
    <row r="19" customFormat="false" ht="15" hidden="false" customHeight="false" outlineLevel="0" collapsed="false">
      <c r="A19" s="12" t="n">
        <v>45419</v>
      </c>
      <c r="B19" s="5" t="s">
        <v>101</v>
      </c>
      <c r="C19" s="5" t="s">
        <v>151</v>
      </c>
      <c r="D19" s="5" t="n">
        <f aca="false">COUNTIFS('Pickup log'!$K$2:$K$225,A19,'Pickup log'!$D$2:$D$225,B19,'Pickup log'!$G$2:$G$225,C19)</f>
        <v>1</v>
      </c>
      <c r="E19" s="5" t="n">
        <f aca="false">IF(D19=0,0,_xlfn.MAXIFS('Pickup log'!$H$2:$H$225,'Pickup log'!$K$2:$K$225,A19,'Pickup log'!$D$2:$D$225,B19,'Pickup log'!$G$2:$G$225,C19))</f>
        <v>10.5</v>
      </c>
      <c r="F19" s="5" t="n">
        <f aca="false">IF(D19=0,0,2*E19+Notes!$B$25*(D19-1))</f>
        <v>21</v>
      </c>
      <c r="G19" s="14" t="n">
        <f aca="false">IF(C19="Matador",F19/Notes!$B$21*Notes!$B$22,F19/Notes!$B$23*Notes!$B$24)</f>
        <v>112.783125</v>
      </c>
      <c r="H19" s="5" t="n">
        <f aca="false">COUNTIFS('Pickup log'!$K$2:$K$225,A19,'Pickup log'!$D$2:$D$225,B19,'Pickup log'!$G$2:$G$225,C19,'Pickup log'!$E$2:$E$225,"Economy")</f>
        <v>0</v>
      </c>
      <c r="I19" s="5" t="n">
        <f aca="false">IF(H19=0,0,_xlfn.MAXIFS('Pickup log'!$H$2:$H$225,'Pickup log'!$K$2:$K$225,A19,'Pickup log'!$D$2:$D$225,B19,'Pickup log'!$G$2:$G$225,C19,'Pickup log'!$E$2:$E$225,"Economy"))</f>
        <v>0</v>
      </c>
      <c r="J19" s="5" t="n">
        <f aca="false">IF(H19=0,0,2*I19+Notes!$B$25*(H19-1))</f>
        <v>0</v>
      </c>
      <c r="K19" s="14" t="n">
        <f aca="false">IF(C19="Matador",J19/Notes!$B$21*Notes!$B$22,J19/Notes!$B$23*Notes!$B$24)</f>
        <v>0</v>
      </c>
    </row>
    <row r="20" customFormat="false" ht="15" hidden="false" customHeight="false" outlineLevel="0" collapsed="false">
      <c r="A20" s="12" t="n">
        <v>45419</v>
      </c>
      <c r="B20" s="5" t="s">
        <v>114</v>
      </c>
      <c r="C20" s="5" t="s">
        <v>150</v>
      </c>
      <c r="D20" s="5" t="n">
        <f aca="false">COUNTIFS('Pickup log'!$K$2:$K$225,A20,'Pickup log'!$D$2:$D$225,B20,'Pickup log'!$G$2:$G$225,C20)</f>
        <v>0</v>
      </c>
      <c r="E20" s="5" t="n">
        <f aca="false">IF(D20=0,0,_xlfn.MAXIFS('Pickup log'!$H$2:$H$225,'Pickup log'!$K$2:$K$225,A20,'Pickup log'!$D$2:$D$225,B20,'Pickup log'!$G$2:$G$225,C20))</f>
        <v>0</v>
      </c>
      <c r="F20" s="5" t="n">
        <f aca="false">IF(D20=0,0,2*E20+Notes!$B$25*(D20-1))</f>
        <v>0</v>
      </c>
      <c r="G20" s="14" t="n">
        <f aca="false">IF(C20="Matador",F20/Notes!$B$21*Notes!$B$22,F20/Notes!$B$23*Notes!$B$24)</f>
        <v>0</v>
      </c>
      <c r="H20" s="5" t="n">
        <f aca="false">COUNTIFS('Pickup log'!$K$2:$K$225,A20,'Pickup log'!$D$2:$D$225,B20,'Pickup log'!$G$2:$G$225,C20,'Pickup log'!$E$2:$E$225,"Economy")</f>
        <v>0</v>
      </c>
      <c r="I20" s="5" t="n">
        <f aca="false">IF(H20=0,0,_xlfn.MAXIFS('Pickup log'!$H$2:$H$225,'Pickup log'!$K$2:$K$225,A20,'Pickup log'!$D$2:$D$225,B20,'Pickup log'!$G$2:$G$225,C20,'Pickup log'!$E$2:$E$225,"Economy"))</f>
        <v>0</v>
      </c>
      <c r="J20" s="5" t="n">
        <f aca="false">IF(H20=0,0,2*I20+Notes!$B$25*(H20-1))</f>
        <v>0</v>
      </c>
      <c r="K20" s="14" t="n">
        <f aca="false">IF(C20="Matador",J20/Notes!$B$21*Notes!$B$22,J20/Notes!$B$23*Notes!$B$24)</f>
        <v>0</v>
      </c>
    </row>
    <row r="21" customFormat="false" ht="15" hidden="false" customHeight="false" outlineLevel="0" collapsed="false">
      <c r="A21" s="12" t="n">
        <v>45419</v>
      </c>
      <c r="B21" s="5" t="s">
        <v>114</v>
      </c>
      <c r="C21" s="5" t="s">
        <v>151</v>
      </c>
      <c r="D21" s="5" t="n">
        <f aca="false">COUNTIFS('Pickup log'!$K$2:$K$225,A21,'Pickup log'!$D$2:$D$225,B21,'Pickup log'!$G$2:$G$225,C21)</f>
        <v>0</v>
      </c>
      <c r="E21" s="5" t="n">
        <f aca="false">IF(D21=0,0,_xlfn.MAXIFS('Pickup log'!$H$2:$H$225,'Pickup log'!$K$2:$K$225,A21,'Pickup log'!$D$2:$D$225,B21,'Pickup log'!$G$2:$G$225,C21))</f>
        <v>0</v>
      </c>
      <c r="F21" s="5" t="n">
        <f aca="false">IF(D21=0,0,2*E21+Notes!$B$25*(D21-1))</f>
        <v>0</v>
      </c>
      <c r="G21" s="14" t="n">
        <f aca="false">IF(C21="Matador",F21/Notes!$B$21*Notes!$B$22,F21/Notes!$B$23*Notes!$B$24)</f>
        <v>0</v>
      </c>
      <c r="H21" s="5" t="n">
        <f aca="false">COUNTIFS('Pickup log'!$K$2:$K$225,A21,'Pickup log'!$D$2:$D$225,B21,'Pickup log'!$G$2:$G$225,C21,'Pickup log'!$E$2:$E$225,"Economy")</f>
        <v>0</v>
      </c>
      <c r="I21" s="5" t="n">
        <f aca="false">IF(H21=0,0,_xlfn.MAXIFS('Pickup log'!$H$2:$H$225,'Pickup log'!$K$2:$K$225,A21,'Pickup log'!$D$2:$D$225,B21,'Pickup log'!$G$2:$G$225,C21,'Pickup log'!$E$2:$E$225,"Economy"))</f>
        <v>0</v>
      </c>
      <c r="J21" s="5" t="n">
        <f aca="false">IF(H21=0,0,2*I21+Notes!$B$25*(H21-1))</f>
        <v>0</v>
      </c>
      <c r="K21" s="14" t="n">
        <f aca="false">IF(C21="Matador",J21/Notes!$B$21*Notes!$B$22,J21/Notes!$B$23*Notes!$B$24)</f>
        <v>0</v>
      </c>
    </row>
    <row r="22" customFormat="false" ht="15" hidden="false" customHeight="false" outlineLevel="0" collapsed="false">
      <c r="A22" s="12" t="n">
        <v>45420</v>
      </c>
      <c r="B22" s="5" t="s">
        <v>56</v>
      </c>
      <c r="C22" s="5" t="s">
        <v>150</v>
      </c>
      <c r="D22" s="5" t="n">
        <f aca="false">COUNTIFS('Pickup log'!$K$2:$K$225,A22,'Pickup log'!$D$2:$D$225,B22,'Pickup log'!$G$2:$G$225,C22)</f>
        <v>0</v>
      </c>
      <c r="E22" s="5" t="n">
        <f aca="false">IF(D22=0,0,_xlfn.MAXIFS('Pickup log'!$H$2:$H$225,'Pickup log'!$K$2:$K$225,A22,'Pickup log'!$D$2:$D$225,B22,'Pickup log'!$G$2:$G$225,C22))</f>
        <v>0</v>
      </c>
      <c r="F22" s="5" t="n">
        <f aca="false">IF(D22=0,0,2*E22+Notes!$B$25*(D22-1))</f>
        <v>0</v>
      </c>
      <c r="G22" s="14" t="n">
        <f aca="false">IF(C22="Matador",F22/Notes!$B$21*Notes!$B$22,F22/Notes!$B$23*Notes!$B$24)</f>
        <v>0</v>
      </c>
      <c r="H22" s="5" t="n">
        <f aca="false">COUNTIFS('Pickup log'!$K$2:$K$225,A22,'Pickup log'!$D$2:$D$225,B22,'Pickup log'!$G$2:$G$225,C22,'Pickup log'!$E$2:$E$225,"Economy")</f>
        <v>0</v>
      </c>
      <c r="I22" s="5" t="n">
        <f aca="false">IF(H22=0,0,_xlfn.MAXIFS('Pickup log'!$H$2:$H$225,'Pickup log'!$K$2:$K$225,A22,'Pickup log'!$D$2:$D$225,B22,'Pickup log'!$G$2:$G$225,C22,'Pickup log'!$E$2:$E$225,"Economy"))</f>
        <v>0</v>
      </c>
      <c r="J22" s="5" t="n">
        <f aca="false">IF(H22=0,0,2*I22+Notes!$B$25*(H22-1))</f>
        <v>0</v>
      </c>
      <c r="K22" s="14" t="n">
        <f aca="false">IF(C22="Matador",J22/Notes!$B$21*Notes!$B$22,J22/Notes!$B$23*Notes!$B$24)</f>
        <v>0</v>
      </c>
    </row>
    <row r="23" customFormat="false" ht="15" hidden="false" customHeight="false" outlineLevel="0" collapsed="false">
      <c r="A23" s="12" t="n">
        <v>45420</v>
      </c>
      <c r="B23" s="5" t="s">
        <v>56</v>
      </c>
      <c r="C23" s="5" t="s">
        <v>151</v>
      </c>
      <c r="D23" s="5" t="n">
        <f aca="false">COUNTIFS('Pickup log'!$K$2:$K$225,A23,'Pickup log'!$D$2:$D$225,B23,'Pickup log'!$G$2:$G$225,C23)</f>
        <v>3</v>
      </c>
      <c r="E23" s="5" t="n">
        <f aca="false">IF(D23=0,0,_xlfn.MAXIFS('Pickup log'!$H$2:$H$225,'Pickup log'!$K$2:$K$225,A23,'Pickup log'!$D$2:$D$225,B23,'Pickup log'!$G$2:$G$225,C23))</f>
        <v>6</v>
      </c>
      <c r="F23" s="5" t="n">
        <f aca="false">IF(D23=0,0,2*E23+Notes!$B$25*(D23-1))</f>
        <v>16</v>
      </c>
      <c r="G23" s="14" t="n">
        <f aca="false">IF(C23="Matador",F23/Notes!$B$21*Notes!$B$22,F23/Notes!$B$23*Notes!$B$24)</f>
        <v>85.93</v>
      </c>
      <c r="H23" s="5" t="n">
        <f aca="false">COUNTIFS('Pickup log'!$K$2:$K$225,A23,'Pickup log'!$D$2:$D$225,B23,'Pickup log'!$G$2:$G$225,C23,'Pickup log'!$E$2:$E$225,"Economy")</f>
        <v>2</v>
      </c>
      <c r="I23" s="5" t="n">
        <f aca="false">IF(H23=0,0,_xlfn.MAXIFS('Pickup log'!$H$2:$H$225,'Pickup log'!$K$2:$K$225,A23,'Pickup log'!$D$2:$D$225,B23,'Pickup log'!$G$2:$G$225,C23,'Pickup log'!$E$2:$E$225,"Economy"))</f>
        <v>6</v>
      </c>
      <c r="J23" s="5" t="n">
        <f aca="false">IF(H23=0,0,2*I23+Notes!$B$25*(H23-1))</f>
        <v>14</v>
      </c>
      <c r="K23" s="14" t="n">
        <f aca="false">IF(C23="Matador",J23/Notes!$B$21*Notes!$B$22,J23/Notes!$B$23*Notes!$B$24)</f>
        <v>75.18875</v>
      </c>
    </row>
    <row r="24" customFormat="false" ht="15" hidden="false" customHeight="false" outlineLevel="0" collapsed="false">
      <c r="A24" s="12" t="n">
        <v>45420</v>
      </c>
      <c r="B24" s="5" t="s">
        <v>73</v>
      </c>
      <c r="C24" s="5" t="s">
        <v>150</v>
      </c>
      <c r="D24" s="5" t="n">
        <f aca="false">COUNTIFS('Pickup log'!$K$2:$K$225,A24,'Pickup log'!$D$2:$D$225,B24,'Pickup log'!$G$2:$G$225,C24)</f>
        <v>3</v>
      </c>
      <c r="E24" s="5" t="n">
        <f aca="false">IF(D24=0,0,_xlfn.MAXIFS('Pickup log'!$H$2:$H$225,'Pickup log'!$K$2:$K$225,A24,'Pickup log'!$D$2:$D$225,B24,'Pickup log'!$G$2:$G$225,C24))</f>
        <v>4.5</v>
      </c>
      <c r="F24" s="5" t="n">
        <f aca="false">IF(D24=0,0,2*E24+Notes!$B$25*(D24-1))</f>
        <v>13</v>
      </c>
      <c r="G24" s="14" t="n">
        <f aca="false">IF(C24="Matador",F24/Notes!$B$21*Notes!$B$22,F24/Notes!$B$23*Notes!$B$24)</f>
        <v>28.8426666666667</v>
      </c>
      <c r="H24" s="5" t="n">
        <f aca="false">COUNTIFS('Pickup log'!$K$2:$K$225,A24,'Pickup log'!$D$2:$D$225,B24,'Pickup log'!$G$2:$G$225,C24,'Pickup log'!$E$2:$E$225,"Economy")</f>
        <v>1</v>
      </c>
      <c r="I24" s="5" t="n">
        <f aca="false">IF(H24=0,0,_xlfn.MAXIFS('Pickup log'!$H$2:$H$225,'Pickup log'!$K$2:$K$225,A24,'Pickup log'!$D$2:$D$225,B24,'Pickup log'!$G$2:$G$225,C24,'Pickup log'!$E$2:$E$225,"Economy"))</f>
        <v>4.5</v>
      </c>
      <c r="J24" s="5" t="n">
        <f aca="false">IF(H24=0,0,2*I24+Notes!$B$25*(H24-1))</f>
        <v>9</v>
      </c>
      <c r="K24" s="14" t="n">
        <f aca="false">IF(C24="Matador",J24/Notes!$B$21*Notes!$B$22,J24/Notes!$B$23*Notes!$B$24)</f>
        <v>19.968</v>
      </c>
    </row>
    <row r="25" customFormat="false" ht="15" hidden="false" customHeight="false" outlineLevel="0" collapsed="false">
      <c r="A25" s="12" t="n">
        <v>45420</v>
      </c>
      <c r="B25" s="5" t="s">
        <v>73</v>
      </c>
      <c r="C25" s="5" t="s">
        <v>151</v>
      </c>
      <c r="D25" s="5" t="n">
        <f aca="false">COUNTIFS('Pickup log'!$K$2:$K$225,A25,'Pickup log'!$D$2:$D$225,B25,'Pickup log'!$G$2:$G$225,C25)</f>
        <v>2</v>
      </c>
      <c r="E25" s="5" t="n">
        <f aca="false">IF(D25=0,0,_xlfn.MAXIFS('Pickup log'!$H$2:$H$225,'Pickup log'!$K$2:$K$225,A25,'Pickup log'!$D$2:$D$225,B25,'Pickup log'!$G$2:$G$225,C25))</f>
        <v>11.5</v>
      </c>
      <c r="F25" s="5" t="n">
        <f aca="false">IF(D25=0,0,2*E25+Notes!$B$25*(D25-1))</f>
        <v>25</v>
      </c>
      <c r="G25" s="14" t="n">
        <f aca="false">IF(C25="Matador",F25/Notes!$B$21*Notes!$B$22,F25/Notes!$B$23*Notes!$B$24)</f>
        <v>134.265625</v>
      </c>
      <c r="H25" s="5" t="n">
        <f aca="false">COUNTIFS('Pickup log'!$K$2:$K$225,A25,'Pickup log'!$D$2:$D$225,B25,'Pickup log'!$G$2:$G$225,C25,'Pickup log'!$E$2:$E$225,"Economy")</f>
        <v>1</v>
      </c>
      <c r="I25" s="5" t="n">
        <f aca="false">IF(H25=0,0,_xlfn.MAXIFS('Pickup log'!$H$2:$H$225,'Pickup log'!$K$2:$K$225,A25,'Pickup log'!$D$2:$D$225,B25,'Pickup log'!$G$2:$G$225,C25,'Pickup log'!$E$2:$E$225,"Economy"))</f>
        <v>11.5</v>
      </c>
      <c r="J25" s="5" t="n">
        <f aca="false">IF(H25=0,0,2*I25+Notes!$B$25*(H25-1))</f>
        <v>23</v>
      </c>
      <c r="K25" s="14" t="n">
        <f aca="false">IF(C25="Matador",J25/Notes!$B$21*Notes!$B$22,J25/Notes!$B$23*Notes!$B$24)</f>
        <v>123.524375</v>
      </c>
    </row>
    <row r="26" customFormat="false" ht="15" hidden="false" customHeight="false" outlineLevel="0" collapsed="false">
      <c r="A26" s="12" t="n">
        <v>45420</v>
      </c>
      <c r="B26" s="5" t="s">
        <v>90</v>
      </c>
      <c r="C26" s="5" t="s">
        <v>150</v>
      </c>
      <c r="D26" s="5" t="n">
        <f aca="false">COUNTIFS('Pickup log'!$K$2:$K$225,A26,'Pickup log'!$D$2:$D$225,B26,'Pickup log'!$G$2:$G$225,C26)</f>
        <v>1</v>
      </c>
      <c r="E26" s="5" t="n">
        <f aca="false">IF(D26=0,0,_xlfn.MAXIFS('Pickup log'!$H$2:$H$225,'Pickup log'!$K$2:$K$225,A26,'Pickup log'!$D$2:$D$225,B26,'Pickup log'!$G$2:$G$225,C26))</f>
        <v>6.5</v>
      </c>
      <c r="F26" s="5" t="n">
        <f aca="false">IF(D26=0,0,2*E26+Notes!$B$25*(D26-1))</f>
        <v>13</v>
      </c>
      <c r="G26" s="14" t="n">
        <f aca="false">IF(C26="Matador",F26/Notes!$B$21*Notes!$B$22,F26/Notes!$B$23*Notes!$B$24)</f>
        <v>28.8426666666667</v>
      </c>
      <c r="H26" s="5" t="n">
        <f aca="false">COUNTIFS('Pickup log'!$K$2:$K$225,A26,'Pickup log'!$D$2:$D$225,B26,'Pickup log'!$G$2:$G$225,C26,'Pickup log'!$E$2:$E$225,"Economy")</f>
        <v>1</v>
      </c>
      <c r="I26" s="5" t="n">
        <f aca="false">IF(H26=0,0,_xlfn.MAXIFS('Pickup log'!$H$2:$H$225,'Pickup log'!$K$2:$K$225,A26,'Pickup log'!$D$2:$D$225,B26,'Pickup log'!$G$2:$G$225,C26,'Pickup log'!$E$2:$E$225,"Economy"))</f>
        <v>6.5</v>
      </c>
      <c r="J26" s="5" t="n">
        <f aca="false">IF(H26=0,0,2*I26+Notes!$B$25*(H26-1))</f>
        <v>13</v>
      </c>
      <c r="K26" s="14" t="n">
        <f aca="false">IF(C26="Matador",J26/Notes!$B$21*Notes!$B$22,J26/Notes!$B$23*Notes!$B$24)</f>
        <v>28.8426666666667</v>
      </c>
    </row>
    <row r="27" customFormat="false" ht="15" hidden="false" customHeight="false" outlineLevel="0" collapsed="false">
      <c r="A27" s="12" t="n">
        <v>45420</v>
      </c>
      <c r="B27" s="5" t="s">
        <v>90</v>
      </c>
      <c r="C27" s="5" t="s">
        <v>151</v>
      </c>
      <c r="D27" s="5" t="n">
        <f aca="false">COUNTIFS('Pickup log'!$K$2:$K$225,A27,'Pickup log'!$D$2:$D$225,B27,'Pickup log'!$G$2:$G$225,C27)</f>
        <v>0</v>
      </c>
      <c r="E27" s="5" t="n">
        <f aca="false">IF(D27=0,0,_xlfn.MAXIFS('Pickup log'!$H$2:$H$225,'Pickup log'!$K$2:$K$225,A27,'Pickup log'!$D$2:$D$225,B27,'Pickup log'!$G$2:$G$225,C27))</f>
        <v>0</v>
      </c>
      <c r="F27" s="5" t="n">
        <f aca="false">IF(D27=0,0,2*E27+Notes!$B$25*(D27-1))</f>
        <v>0</v>
      </c>
      <c r="G27" s="14" t="n">
        <f aca="false">IF(C27="Matador",F27/Notes!$B$21*Notes!$B$22,F27/Notes!$B$23*Notes!$B$24)</f>
        <v>0</v>
      </c>
      <c r="H27" s="5" t="n">
        <f aca="false">COUNTIFS('Pickup log'!$K$2:$K$225,A27,'Pickup log'!$D$2:$D$225,B27,'Pickup log'!$G$2:$G$225,C27,'Pickup log'!$E$2:$E$225,"Economy")</f>
        <v>0</v>
      </c>
      <c r="I27" s="5" t="n">
        <f aca="false">IF(H27=0,0,_xlfn.MAXIFS('Pickup log'!$H$2:$H$225,'Pickup log'!$K$2:$K$225,A27,'Pickup log'!$D$2:$D$225,B27,'Pickup log'!$G$2:$G$225,C27,'Pickup log'!$E$2:$E$225,"Economy"))</f>
        <v>0</v>
      </c>
      <c r="J27" s="5" t="n">
        <f aca="false">IF(H27=0,0,2*I27+Notes!$B$25*(H27-1))</f>
        <v>0</v>
      </c>
      <c r="K27" s="14" t="n">
        <f aca="false">IF(C27="Matador",J27/Notes!$B$21*Notes!$B$22,J27/Notes!$B$23*Notes!$B$24)</f>
        <v>0</v>
      </c>
    </row>
    <row r="28" customFormat="false" ht="15" hidden="false" customHeight="false" outlineLevel="0" collapsed="false">
      <c r="A28" s="12" t="n">
        <v>45420</v>
      </c>
      <c r="B28" s="5" t="s">
        <v>101</v>
      </c>
      <c r="C28" s="5" t="s">
        <v>150</v>
      </c>
      <c r="D28" s="5" t="n">
        <f aca="false">COUNTIFS('Pickup log'!$K$2:$K$225,A28,'Pickup log'!$D$2:$D$225,B28,'Pickup log'!$G$2:$G$225,C28)</f>
        <v>0</v>
      </c>
      <c r="E28" s="5" t="n">
        <f aca="false">IF(D28=0,0,_xlfn.MAXIFS('Pickup log'!$H$2:$H$225,'Pickup log'!$K$2:$K$225,A28,'Pickup log'!$D$2:$D$225,B28,'Pickup log'!$G$2:$G$225,C28))</f>
        <v>0</v>
      </c>
      <c r="F28" s="5" t="n">
        <f aca="false">IF(D28=0,0,2*E28+Notes!$B$25*(D28-1))</f>
        <v>0</v>
      </c>
      <c r="G28" s="14" t="n">
        <f aca="false">IF(C28="Matador",F28/Notes!$B$21*Notes!$B$22,F28/Notes!$B$23*Notes!$B$24)</f>
        <v>0</v>
      </c>
      <c r="H28" s="5" t="n">
        <f aca="false">COUNTIFS('Pickup log'!$K$2:$K$225,A28,'Pickup log'!$D$2:$D$225,B28,'Pickup log'!$G$2:$G$225,C28,'Pickup log'!$E$2:$E$225,"Economy")</f>
        <v>0</v>
      </c>
      <c r="I28" s="5" t="n">
        <f aca="false">IF(H28=0,0,_xlfn.MAXIFS('Pickup log'!$H$2:$H$225,'Pickup log'!$K$2:$K$225,A28,'Pickup log'!$D$2:$D$225,B28,'Pickup log'!$G$2:$G$225,C28,'Pickup log'!$E$2:$E$225,"Economy"))</f>
        <v>0</v>
      </c>
      <c r="J28" s="5" t="n">
        <f aca="false">IF(H28=0,0,2*I28+Notes!$B$25*(H28-1))</f>
        <v>0</v>
      </c>
      <c r="K28" s="14" t="n">
        <f aca="false">IF(C28="Matador",J28/Notes!$B$21*Notes!$B$22,J28/Notes!$B$23*Notes!$B$24)</f>
        <v>0</v>
      </c>
    </row>
    <row r="29" customFormat="false" ht="15" hidden="false" customHeight="false" outlineLevel="0" collapsed="false">
      <c r="A29" s="12" t="n">
        <v>45420</v>
      </c>
      <c r="B29" s="5" t="s">
        <v>101</v>
      </c>
      <c r="C29" s="5" t="s">
        <v>151</v>
      </c>
      <c r="D29" s="5" t="n">
        <f aca="false">COUNTIFS('Pickup log'!$K$2:$K$225,A29,'Pickup log'!$D$2:$D$225,B29,'Pickup log'!$G$2:$G$225,C29)</f>
        <v>0</v>
      </c>
      <c r="E29" s="5" t="n">
        <f aca="false">IF(D29=0,0,_xlfn.MAXIFS('Pickup log'!$H$2:$H$225,'Pickup log'!$K$2:$K$225,A29,'Pickup log'!$D$2:$D$225,B29,'Pickup log'!$G$2:$G$225,C29))</f>
        <v>0</v>
      </c>
      <c r="F29" s="5" t="n">
        <f aca="false">IF(D29=0,0,2*E29+Notes!$B$25*(D29-1))</f>
        <v>0</v>
      </c>
      <c r="G29" s="14" t="n">
        <f aca="false">IF(C29="Matador",F29/Notes!$B$21*Notes!$B$22,F29/Notes!$B$23*Notes!$B$24)</f>
        <v>0</v>
      </c>
      <c r="H29" s="5" t="n">
        <f aca="false">COUNTIFS('Pickup log'!$K$2:$K$225,A29,'Pickup log'!$D$2:$D$225,B29,'Pickup log'!$G$2:$G$225,C29,'Pickup log'!$E$2:$E$225,"Economy")</f>
        <v>0</v>
      </c>
      <c r="I29" s="5" t="n">
        <f aca="false">IF(H29=0,0,_xlfn.MAXIFS('Pickup log'!$H$2:$H$225,'Pickup log'!$K$2:$K$225,A29,'Pickup log'!$D$2:$D$225,B29,'Pickup log'!$G$2:$G$225,C29,'Pickup log'!$E$2:$E$225,"Economy"))</f>
        <v>0</v>
      </c>
      <c r="J29" s="5" t="n">
        <f aca="false">IF(H29=0,0,2*I29+Notes!$B$25*(H29-1))</f>
        <v>0</v>
      </c>
      <c r="K29" s="14" t="n">
        <f aca="false">IF(C29="Matador",J29/Notes!$B$21*Notes!$B$22,J29/Notes!$B$23*Notes!$B$24)</f>
        <v>0</v>
      </c>
    </row>
    <row r="30" customFormat="false" ht="15" hidden="false" customHeight="false" outlineLevel="0" collapsed="false">
      <c r="A30" s="12" t="n">
        <v>45420</v>
      </c>
      <c r="B30" s="5" t="s">
        <v>114</v>
      </c>
      <c r="C30" s="5" t="s">
        <v>150</v>
      </c>
      <c r="D30" s="5" t="n">
        <f aca="false">COUNTIFS('Pickup log'!$K$2:$K$225,A30,'Pickup log'!$D$2:$D$225,B30,'Pickup log'!$G$2:$G$225,C30)</f>
        <v>0</v>
      </c>
      <c r="E30" s="5" t="n">
        <f aca="false">IF(D30=0,0,_xlfn.MAXIFS('Pickup log'!$H$2:$H$225,'Pickup log'!$K$2:$K$225,A30,'Pickup log'!$D$2:$D$225,B30,'Pickup log'!$G$2:$G$225,C30))</f>
        <v>0</v>
      </c>
      <c r="F30" s="5" t="n">
        <f aca="false">IF(D30=0,0,2*E30+Notes!$B$25*(D30-1))</f>
        <v>0</v>
      </c>
      <c r="G30" s="14" t="n">
        <f aca="false">IF(C30="Matador",F30/Notes!$B$21*Notes!$B$22,F30/Notes!$B$23*Notes!$B$24)</f>
        <v>0</v>
      </c>
      <c r="H30" s="5" t="n">
        <f aca="false">COUNTIFS('Pickup log'!$K$2:$K$225,A30,'Pickup log'!$D$2:$D$225,B30,'Pickup log'!$G$2:$G$225,C30,'Pickup log'!$E$2:$E$225,"Economy")</f>
        <v>0</v>
      </c>
      <c r="I30" s="5" t="n">
        <f aca="false">IF(H30=0,0,_xlfn.MAXIFS('Pickup log'!$H$2:$H$225,'Pickup log'!$K$2:$K$225,A30,'Pickup log'!$D$2:$D$225,B30,'Pickup log'!$G$2:$G$225,C30,'Pickup log'!$E$2:$E$225,"Economy"))</f>
        <v>0</v>
      </c>
      <c r="J30" s="5" t="n">
        <f aca="false">IF(H30=0,0,2*I30+Notes!$B$25*(H30-1))</f>
        <v>0</v>
      </c>
      <c r="K30" s="14" t="n">
        <f aca="false">IF(C30="Matador",J30/Notes!$B$21*Notes!$B$22,J30/Notes!$B$23*Notes!$B$24)</f>
        <v>0</v>
      </c>
    </row>
    <row r="31" customFormat="false" ht="15" hidden="false" customHeight="false" outlineLevel="0" collapsed="false">
      <c r="A31" s="12" t="n">
        <v>45420</v>
      </c>
      <c r="B31" s="5" t="s">
        <v>114</v>
      </c>
      <c r="C31" s="5" t="s">
        <v>151</v>
      </c>
      <c r="D31" s="5" t="n">
        <f aca="false">COUNTIFS('Pickup log'!$K$2:$K$225,A31,'Pickup log'!$D$2:$D$225,B31,'Pickup log'!$G$2:$G$225,C31)</f>
        <v>0</v>
      </c>
      <c r="E31" s="5" t="n">
        <f aca="false">IF(D31=0,0,_xlfn.MAXIFS('Pickup log'!$H$2:$H$225,'Pickup log'!$K$2:$K$225,A31,'Pickup log'!$D$2:$D$225,B31,'Pickup log'!$G$2:$G$225,C31))</f>
        <v>0</v>
      </c>
      <c r="F31" s="5" t="n">
        <f aca="false">IF(D31=0,0,2*E31+Notes!$B$25*(D31-1))</f>
        <v>0</v>
      </c>
      <c r="G31" s="14" t="n">
        <f aca="false">IF(C31="Matador",F31/Notes!$B$21*Notes!$B$22,F31/Notes!$B$23*Notes!$B$24)</f>
        <v>0</v>
      </c>
      <c r="H31" s="5" t="n">
        <f aca="false">COUNTIFS('Pickup log'!$K$2:$K$225,A31,'Pickup log'!$D$2:$D$225,B31,'Pickup log'!$G$2:$G$225,C31,'Pickup log'!$E$2:$E$225,"Economy")</f>
        <v>0</v>
      </c>
      <c r="I31" s="5" t="n">
        <f aca="false">IF(H31=0,0,_xlfn.MAXIFS('Pickup log'!$H$2:$H$225,'Pickup log'!$K$2:$K$225,A31,'Pickup log'!$D$2:$D$225,B31,'Pickup log'!$G$2:$G$225,C31,'Pickup log'!$E$2:$E$225,"Economy"))</f>
        <v>0</v>
      </c>
      <c r="J31" s="5" t="n">
        <f aca="false">IF(H31=0,0,2*I31+Notes!$B$25*(H31-1))</f>
        <v>0</v>
      </c>
      <c r="K31" s="14" t="n">
        <f aca="false">IF(C31="Matador",J31/Notes!$B$21*Notes!$B$22,J31/Notes!$B$23*Notes!$B$24)</f>
        <v>0</v>
      </c>
    </row>
    <row r="32" customFormat="false" ht="15" hidden="false" customHeight="false" outlineLevel="0" collapsed="false">
      <c r="A32" s="12" t="n">
        <v>45421</v>
      </c>
      <c r="B32" s="5" t="s">
        <v>56</v>
      </c>
      <c r="C32" s="5" t="s">
        <v>150</v>
      </c>
      <c r="D32" s="5" t="n">
        <f aca="false">COUNTIFS('Pickup log'!$K$2:$K$225,A32,'Pickup log'!$D$2:$D$225,B32,'Pickup log'!$G$2:$G$225,C32)</f>
        <v>2</v>
      </c>
      <c r="E32" s="5" t="n">
        <f aca="false">IF(D32=0,0,_xlfn.MAXIFS('Pickup log'!$H$2:$H$225,'Pickup log'!$K$2:$K$225,A32,'Pickup log'!$D$2:$D$225,B32,'Pickup log'!$G$2:$G$225,C32))</f>
        <v>4.5</v>
      </c>
      <c r="F32" s="5" t="n">
        <f aca="false">IF(D32=0,0,2*E32+Notes!$B$25*(D32-1))</f>
        <v>11</v>
      </c>
      <c r="G32" s="14" t="n">
        <f aca="false">IF(C32="Matador",F32/Notes!$B$21*Notes!$B$22,F32/Notes!$B$23*Notes!$B$24)</f>
        <v>24.4053333333333</v>
      </c>
      <c r="H32" s="5" t="n">
        <f aca="false">COUNTIFS('Pickup log'!$K$2:$K$225,A32,'Pickup log'!$D$2:$D$225,B32,'Pickup log'!$G$2:$G$225,C32,'Pickup log'!$E$2:$E$225,"Economy")</f>
        <v>2</v>
      </c>
      <c r="I32" s="5" t="n">
        <f aca="false">IF(H32=0,0,_xlfn.MAXIFS('Pickup log'!$H$2:$H$225,'Pickup log'!$K$2:$K$225,A32,'Pickup log'!$D$2:$D$225,B32,'Pickup log'!$G$2:$G$225,C32,'Pickup log'!$E$2:$E$225,"Economy"))</f>
        <v>4.5</v>
      </c>
      <c r="J32" s="5" t="n">
        <f aca="false">IF(H32=0,0,2*I32+Notes!$B$25*(H32-1))</f>
        <v>11</v>
      </c>
      <c r="K32" s="14" t="n">
        <f aca="false">IF(C32="Matador",J32/Notes!$B$21*Notes!$B$22,J32/Notes!$B$23*Notes!$B$24)</f>
        <v>24.4053333333333</v>
      </c>
    </row>
    <row r="33" customFormat="false" ht="15" hidden="false" customHeight="false" outlineLevel="0" collapsed="false">
      <c r="A33" s="12" t="n">
        <v>45421</v>
      </c>
      <c r="B33" s="5" t="s">
        <v>56</v>
      </c>
      <c r="C33" s="5" t="s">
        <v>151</v>
      </c>
      <c r="D33" s="5" t="n">
        <f aca="false">COUNTIFS('Pickup log'!$K$2:$K$225,A33,'Pickup log'!$D$2:$D$225,B33,'Pickup log'!$G$2:$G$225,C33)</f>
        <v>1</v>
      </c>
      <c r="E33" s="5" t="n">
        <f aca="false">IF(D33=0,0,_xlfn.MAXIFS('Pickup log'!$H$2:$H$225,'Pickup log'!$K$2:$K$225,A33,'Pickup log'!$D$2:$D$225,B33,'Pickup log'!$G$2:$G$225,C33))</f>
        <v>4.5</v>
      </c>
      <c r="F33" s="5" t="n">
        <f aca="false">IF(D33=0,0,2*E33+Notes!$B$25*(D33-1))</f>
        <v>9</v>
      </c>
      <c r="G33" s="14" t="n">
        <f aca="false">IF(C33="Matador",F33/Notes!$B$21*Notes!$B$22,F33/Notes!$B$23*Notes!$B$24)</f>
        <v>48.335625</v>
      </c>
      <c r="H33" s="5" t="n">
        <f aca="false">COUNTIFS('Pickup log'!$K$2:$K$225,A33,'Pickup log'!$D$2:$D$225,B33,'Pickup log'!$G$2:$G$225,C33,'Pickup log'!$E$2:$E$225,"Economy")</f>
        <v>0</v>
      </c>
      <c r="I33" s="5" t="n">
        <f aca="false">IF(H33=0,0,_xlfn.MAXIFS('Pickup log'!$H$2:$H$225,'Pickup log'!$K$2:$K$225,A33,'Pickup log'!$D$2:$D$225,B33,'Pickup log'!$G$2:$G$225,C33,'Pickup log'!$E$2:$E$225,"Economy"))</f>
        <v>0</v>
      </c>
      <c r="J33" s="5" t="n">
        <f aca="false">IF(H33=0,0,2*I33+Notes!$B$25*(H33-1))</f>
        <v>0</v>
      </c>
      <c r="K33" s="14" t="n">
        <f aca="false">IF(C33="Matador",J33/Notes!$B$21*Notes!$B$22,J33/Notes!$B$23*Notes!$B$24)</f>
        <v>0</v>
      </c>
    </row>
    <row r="34" customFormat="false" ht="15" hidden="false" customHeight="false" outlineLevel="0" collapsed="false">
      <c r="A34" s="12" t="n">
        <v>45421</v>
      </c>
      <c r="B34" s="5" t="s">
        <v>73</v>
      </c>
      <c r="C34" s="5" t="s">
        <v>150</v>
      </c>
      <c r="D34" s="5" t="n">
        <f aca="false">COUNTIFS('Pickup log'!$K$2:$K$225,A34,'Pickup log'!$D$2:$D$225,B34,'Pickup log'!$G$2:$G$225,C34)</f>
        <v>1</v>
      </c>
      <c r="E34" s="5" t="n">
        <f aca="false">IF(D34=0,0,_xlfn.MAXIFS('Pickup log'!$H$2:$H$225,'Pickup log'!$K$2:$K$225,A34,'Pickup log'!$D$2:$D$225,B34,'Pickup log'!$G$2:$G$225,C34))</f>
        <v>9.5</v>
      </c>
      <c r="F34" s="5" t="n">
        <f aca="false">IF(D34=0,0,2*E34+Notes!$B$25*(D34-1))</f>
        <v>19</v>
      </c>
      <c r="G34" s="14" t="n">
        <f aca="false">IF(C34="Matador",F34/Notes!$B$21*Notes!$B$22,F34/Notes!$B$23*Notes!$B$24)</f>
        <v>42.1546666666667</v>
      </c>
      <c r="H34" s="5" t="n">
        <f aca="false">COUNTIFS('Pickup log'!$K$2:$K$225,A34,'Pickup log'!$D$2:$D$225,B34,'Pickup log'!$G$2:$G$225,C34,'Pickup log'!$E$2:$E$225,"Economy")</f>
        <v>1</v>
      </c>
      <c r="I34" s="5" t="n">
        <f aca="false">IF(H34=0,0,_xlfn.MAXIFS('Pickup log'!$H$2:$H$225,'Pickup log'!$K$2:$K$225,A34,'Pickup log'!$D$2:$D$225,B34,'Pickup log'!$G$2:$G$225,C34,'Pickup log'!$E$2:$E$225,"Economy"))</f>
        <v>9.5</v>
      </c>
      <c r="J34" s="5" t="n">
        <f aca="false">IF(H34=0,0,2*I34+Notes!$B$25*(H34-1))</f>
        <v>19</v>
      </c>
      <c r="K34" s="14" t="n">
        <f aca="false">IF(C34="Matador",J34/Notes!$B$21*Notes!$B$22,J34/Notes!$B$23*Notes!$B$24)</f>
        <v>42.1546666666667</v>
      </c>
    </row>
    <row r="35" customFormat="false" ht="15" hidden="false" customHeight="false" outlineLevel="0" collapsed="false">
      <c r="A35" s="12" t="n">
        <v>45421</v>
      </c>
      <c r="B35" s="5" t="s">
        <v>73</v>
      </c>
      <c r="C35" s="5" t="s">
        <v>151</v>
      </c>
      <c r="D35" s="5" t="n">
        <f aca="false">COUNTIFS('Pickup log'!$K$2:$K$225,A35,'Pickup log'!$D$2:$D$225,B35,'Pickup log'!$G$2:$G$225,C35)</f>
        <v>0</v>
      </c>
      <c r="E35" s="5" t="n">
        <f aca="false">IF(D35=0,0,_xlfn.MAXIFS('Pickup log'!$H$2:$H$225,'Pickup log'!$K$2:$K$225,A35,'Pickup log'!$D$2:$D$225,B35,'Pickup log'!$G$2:$G$225,C35))</f>
        <v>0</v>
      </c>
      <c r="F35" s="5" t="n">
        <f aca="false">IF(D35=0,0,2*E35+Notes!$B$25*(D35-1))</f>
        <v>0</v>
      </c>
      <c r="G35" s="14" t="n">
        <f aca="false">IF(C35="Matador",F35/Notes!$B$21*Notes!$B$22,F35/Notes!$B$23*Notes!$B$24)</f>
        <v>0</v>
      </c>
      <c r="H35" s="5" t="n">
        <f aca="false">COUNTIFS('Pickup log'!$K$2:$K$225,A35,'Pickup log'!$D$2:$D$225,B35,'Pickup log'!$G$2:$G$225,C35,'Pickup log'!$E$2:$E$225,"Economy")</f>
        <v>0</v>
      </c>
      <c r="I35" s="5" t="n">
        <f aca="false">IF(H35=0,0,_xlfn.MAXIFS('Pickup log'!$H$2:$H$225,'Pickup log'!$K$2:$K$225,A35,'Pickup log'!$D$2:$D$225,B35,'Pickup log'!$G$2:$G$225,C35,'Pickup log'!$E$2:$E$225,"Economy"))</f>
        <v>0</v>
      </c>
      <c r="J35" s="5" t="n">
        <f aca="false">IF(H35=0,0,2*I35+Notes!$B$25*(H35-1))</f>
        <v>0</v>
      </c>
      <c r="K35" s="14" t="n">
        <f aca="false">IF(C35="Matador",J35/Notes!$B$21*Notes!$B$22,J35/Notes!$B$23*Notes!$B$24)</f>
        <v>0</v>
      </c>
    </row>
    <row r="36" customFormat="false" ht="15" hidden="false" customHeight="false" outlineLevel="0" collapsed="false">
      <c r="A36" s="12" t="n">
        <v>45421</v>
      </c>
      <c r="B36" s="5" t="s">
        <v>90</v>
      </c>
      <c r="C36" s="5" t="s">
        <v>150</v>
      </c>
      <c r="D36" s="5" t="n">
        <f aca="false">COUNTIFS('Pickup log'!$K$2:$K$225,A36,'Pickup log'!$D$2:$D$225,B36,'Pickup log'!$G$2:$G$225,C36)</f>
        <v>1</v>
      </c>
      <c r="E36" s="5" t="n">
        <f aca="false">IF(D36=0,0,_xlfn.MAXIFS('Pickup log'!$H$2:$H$225,'Pickup log'!$K$2:$K$225,A36,'Pickup log'!$D$2:$D$225,B36,'Pickup log'!$G$2:$G$225,C36))</f>
        <v>13.5</v>
      </c>
      <c r="F36" s="5" t="n">
        <f aca="false">IF(D36=0,0,2*E36+Notes!$B$25*(D36-1))</f>
        <v>27</v>
      </c>
      <c r="G36" s="14" t="n">
        <f aca="false">IF(C36="Matador",F36/Notes!$B$21*Notes!$B$22,F36/Notes!$B$23*Notes!$B$24)</f>
        <v>59.904</v>
      </c>
      <c r="H36" s="5" t="n">
        <f aca="false">COUNTIFS('Pickup log'!$K$2:$K$225,A36,'Pickup log'!$D$2:$D$225,B36,'Pickup log'!$G$2:$G$225,C36,'Pickup log'!$E$2:$E$225,"Economy")</f>
        <v>1</v>
      </c>
      <c r="I36" s="5" t="n">
        <f aca="false">IF(H36=0,0,_xlfn.MAXIFS('Pickup log'!$H$2:$H$225,'Pickup log'!$K$2:$K$225,A36,'Pickup log'!$D$2:$D$225,B36,'Pickup log'!$G$2:$G$225,C36,'Pickup log'!$E$2:$E$225,"Economy"))</f>
        <v>13.5</v>
      </c>
      <c r="J36" s="5" t="n">
        <f aca="false">IF(H36=0,0,2*I36+Notes!$B$25*(H36-1))</f>
        <v>27</v>
      </c>
      <c r="K36" s="14" t="n">
        <f aca="false">IF(C36="Matador",J36/Notes!$B$21*Notes!$B$22,J36/Notes!$B$23*Notes!$B$24)</f>
        <v>59.904</v>
      </c>
    </row>
    <row r="37" customFormat="false" ht="15" hidden="false" customHeight="false" outlineLevel="0" collapsed="false">
      <c r="A37" s="12" t="n">
        <v>45421</v>
      </c>
      <c r="B37" s="5" t="s">
        <v>90</v>
      </c>
      <c r="C37" s="5" t="s">
        <v>151</v>
      </c>
      <c r="D37" s="5" t="n">
        <f aca="false">COUNTIFS('Pickup log'!$K$2:$K$225,A37,'Pickup log'!$D$2:$D$225,B37,'Pickup log'!$G$2:$G$225,C37)</f>
        <v>2</v>
      </c>
      <c r="E37" s="5" t="n">
        <f aca="false">IF(D37=0,0,_xlfn.MAXIFS('Pickup log'!$H$2:$H$225,'Pickup log'!$K$2:$K$225,A37,'Pickup log'!$D$2:$D$225,B37,'Pickup log'!$G$2:$G$225,C37))</f>
        <v>5.5</v>
      </c>
      <c r="F37" s="5" t="n">
        <f aca="false">IF(D37=0,0,2*E37+Notes!$B$25*(D37-1))</f>
        <v>13</v>
      </c>
      <c r="G37" s="14" t="n">
        <f aca="false">IF(C37="Matador",F37/Notes!$B$21*Notes!$B$22,F37/Notes!$B$23*Notes!$B$24)</f>
        <v>69.818125</v>
      </c>
      <c r="H37" s="5" t="n">
        <f aca="false">COUNTIFS('Pickup log'!$K$2:$K$225,A37,'Pickup log'!$D$2:$D$225,B37,'Pickup log'!$G$2:$G$225,C37,'Pickup log'!$E$2:$E$225,"Economy")</f>
        <v>1</v>
      </c>
      <c r="I37" s="5" t="n">
        <f aca="false">IF(H37=0,0,_xlfn.MAXIFS('Pickup log'!$H$2:$H$225,'Pickup log'!$K$2:$K$225,A37,'Pickup log'!$D$2:$D$225,B37,'Pickup log'!$G$2:$G$225,C37,'Pickup log'!$E$2:$E$225,"Economy"))</f>
        <v>5.5</v>
      </c>
      <c r="J37" s="5" t="n">
        <f aca="false">IF(H37=0,0,2*I37+Notes!$B$25*(H37-1))</f>
        <v>11</v>
      </c>
      <c r="K37" s="14" t="n">
        <f aca="false">IF(C37="Matador",J37/Notes!$B$21*Notes!$B$22,J37/Notes!$B$23*Notes!$B$24)</f>
        <v>59.076875</v>
      </c>
    </row>
    <row r="38" customFormat="false" ht="15" hidden="false" customHeight="false" outlineLevel="0" collapsed="false">
      <c r="A38" s="12" t="n">
        <v>45421</v>
      </c>
      <c r="B38" s="5" t="s">
        <v>101</v>
      </c>
      <c r="C38" s="5" t="s">
        <v>150</v>
      </c>
      <c r="D38" s="5" t="n">
        <f aca="false">COUNTIFS('Pickup log'!$K$2:$K$225,A38,'Pickup log'!$D$2:$D$225,B38,'Pickup log'!$G$2:$G$225,C38)</f>
        <v>1</v>
      </c>
      <c r="E38" s="5" t="n">
        <f aca="false">IF(D38=0,0,_xlfn.MAXIFS('Pickup log'!$H$2:$H$225,'Pickup log'!$K$2:$K$225,A38,'Pickup log'!$D$2:$D$225,B38,'Pickup log'!$G$2:$G$225,C38))</f>
        <v>10.5</v>
      </c>
      <c r="F38" s="5" t="n">
        <f aca="false">IF(D38=0,0,2*E38+Notes!$B$25*(D38-1))</f>
        <v>21</v>
      </c>
      <c r="G38" s="14" t="n">
        <f aca="false">IF(C38="Matador",F38/Notes!$B$21*Notes!$B$22,F38/Notes!$B$23*Notes!$B$24)</f>
        <v>46.592</v>
      </c>
      <c r="H38" s="5" t="n">
        <f aca="false">COUNTIFS('Pickup log'!$K$2:$K$225,A38,'Pickup log'!$D$2:$D$225,B38,'Pickup log'!$G$2:$G$225,C38,'Pickup log'!$E$2:$E$225,"Economy")</f>
        <v>1</v>
      </c>
      <c r="I38" s="5" t="n">
        <f aca="false">IF(H38=0,0,_xlfn.MAXIFS('Pickup log'!$H$2:$H$225,'Pickup log'!$K$2:$K$225,A38,'Pickup log'!$D$2:$D$225,B38,'Pickup log'!$G$2:$G$225,C38,'Pickup log'!$E$2:$E$225,"Economy"))</f>
        <v>10.5</v>
      </c>
      <c r="J38" s="5" t="n">
        <f aca="false">IF(H38=0,0,2*I38+Notes!$B$25*(H38-1))</f>
        <v>21</v>
      </c>
      <c r="K38" s="14" t="n">
        <f aca="false">IF(C38="Matador",J38/Notes!$B$21*Notes!$B$22,J38/Notes!$B$23*Notes!$B$24)</f>
        <v>46.592</v>
      </c>
    </row>
    <row r="39" customFormat="false" ht="15" hidden="false" customHeight="false" outlineLevel="0" collapsed="false">
      <c r="A39" s="12" t="n">
        <v>45421</v>
      </c>
      <c r="B39" s="5" t="s">
        <v>101</v>
      </c>
      <c r="C39" s="5" t="s">
        <v>151</v>
      </c>
      <c r="D39" s="5" t="n">
        <f aca="false">COUNTIFS('Pickup log'!$K$2:$K$225,A39,'Pickup log'!$D$2:$D$225,B39,'Pickup log'!$G$2:$G$225,C39)</f>
        <v>0</v>
      </c>
      <c r="E39" s="5" t="n">
        <f aca="false">IF(D39=0,0,_xlfn.MAXIFS('Pickup log'!$H$2:$H$225,'Pickup log'!$K$2:$K$225,A39,'Pickup log'!$D$2:$D$225,B39,'Pickup log'!$G$2:$G$225,C39))</f>
        <v>0</v>
      </c>
      <c r="F39" s="5" t="n">
        <f aca="false">IF(D39=0,0,2*E39+Notes!$B$25*(D39-1))</f>
        <v>0</v>
      </c>
      <c r="G39" s="14" t="n">
        <f aca="false">IF(C39="Matador",F39/Notes!$B$21*Notes!$B$22,F39/Notes!$B$23*Notes!$B$24)</f>
        <v>0</v>
      </c>
      <c r="H39" s="5" t="n">
        <f aca="false">COUNTIFS('Pickup log'!$K$2:$K$225,A39,'Pickup log'!$D$2:$D$225,B39,'Pickup log'!$G$2:$G$225,C39,'Pickup log'!$E$2:$E$225,"Economy")</f>
        <v>0</v>
      </c>
      <c r="I39" s="5" t="n">
        <f aca="false">IF(H39=0,0,_xlfn.MAXIFS('Pickup log'!$H$2:$H$225,'Pickup log'!$K$2:$K$225,A39,'Pickup log'!$D$2:$D$225,B39,'Pickup log'!$G$2:$G$225,C39,'Pickup log'!$E$2:$E$225,"Economy"))</f>
        <v>0</v>
      </c>
      <c r="J39" s="5" t="n">
        <f aca="false">IF(H39=0,0,2*I39+Notes!$B$25*(H39-1))</f>
        <v>0</v>
      </c>
      <c r="K39" s="14" t="n">
        <f aca="false">IF(C39="Matador",J39/Notes!$B$21*Notes!$B$22,J39/Notes!$B$23*Notes!$B$24)</f>
        <v>0</v>
      </c>
    </row>
    <row r="40" customFormat="false" ht="15" hidden="false" customHeight="false" outlineLevel="0" collapsed="false">
      <c r="A40" s="12" t="n">
        <v>45421</v>
      </c>
      <c r="B40" s="5" t="s">
        <v>114</v>
      </c>
      <c r="C40" s="5" t="s">
        <v>150</v>
      </c>
      <c r="D40" s="5" t="n">
        <f aca="false">COUNTIFS('Pickup log'!$K$2:$K$225,A40,'Pickup log'!$D$2:$D$225,B40,'Pickup log'!$G$2:$G$225,C40)</f>
        <v>1</v>
      </c>
      <c r="E40" s="5" t="n">
        <f aca="false">IF(D40=0,0,_xlfn.MAXIFS('Pickup log'!$H$2:$H$225,'Pickup log'!$K$2:$K$225,A40,'Pickup log'!$D$2:$D$225,B40,'Pickup log'!$G$2:$G$225,C40))</f>
        <v>24</v>
      </c>
      <c r="F40" s="5" t="n">
        <f aca="false">IF(D40=0,0,2*E40+Notes!$B$25*(D40-1))</f>
        <v>48</v>
      </c>
      <c r="G40" s="14" t="n">
        <f aca="false">IF(C40="Matador",F40/Notes!$B$21*Notes!$B$22,F40/Notes!$B$23*Notes!$B$24)</f>
        <v>106.496</v>
      </c>
      <c r="H40" s="5" t="n">
        <f aca="false">COUNTIFS('Pickup log'!$K$2:$K$225,A40,'Pickup log'!$D$2:$D$225,B40,'Pickup log'!$G$2:$G$225,C40,'Pickup log'!$E$2:$E$225,"Economy")</f>
        <v>0</v>
      </c>
      <c r="I40" s="5" t="n">
        <f aca="false">IF(H40=0,0,_xlfn.MAXIFS('Pickup log'!$H$2:$H$225,'Pickup log'!$K$2:$K$225,A40,'Pickup log'!$D$2:$D$225,B40,'Pickup log'!$G$2:$G$225,C40,'Pickup log'!$E$2:$E$225,"Economy"))</f>
        <v>0</v>
      </c>
      <c r="J40" s="5" t="n">
        <f aca="false">IF(H40=0,0,2*I40+Notes!$B$25*(H40-1))</f>
        <v>0</v>
      </c>
      <c r="K40" s="14" t="n">
        <f aca="false">IF(C40="Matador",J40/Notes!$B$21*Notes!$B$22,J40/Notes!$B$23*Notes!$B$24)</f>
        <v>0</v>
      </c>
    </row>
    <row r="41" customFormat="false" ht="15" hidden="false" customHeight="false" outlineLevel="0" collapsed="false">
      <c r="A41" s="12" t="n">
        <v>45421</v>
      </c>
      <c r="B41" s="5" t="s">
        <v>114</v>
      </c>
      <c r="C41" s="5" t="s">
        <v>151</v>
      </c>
      <c r="D41" s="5" t="n">
        <f aca="false">COUNTIFS('Pickup log'!$K$2:$K$225,A41,'Pickup log'!$D$2:$D$225,B41,'Pickup log'!$G$2:$G$225,C41)</f>
        <v>2</v>
      </c>
      <c r="E41" s="5" t="n">
        <f aca="false">IF(D41=0,0,_xlfn.MAXIFS('Pickup log'!$H$2:$H$225,'Pickup log'!$K$2:$K$225,A41,'Pickup log'!$D$2:$D$225,B41,'Pickup log'!$G$2:$G$225,C41))</f>
        <v>19.5</v>
      </c>
      <c r="F41" s="5" t="n">
        <f aca="false">IF(D41=0,0,2*E41+Notes!$B$25*(D41-1))</f>
        <v>41</v>
      </c>
      <c r="G41" s="14" t="n">
        <f aca="false">IF(C41="Matador",F41/Notes!$B$21*Notes!$B$22,F41/Notes!$B$23*Notes!$B$24)</f>
        <v>220.195625</v>
      </c>
      <c r="H41" s="5" t="n">
        <f aca="false">COUNTIFS('Pickup log'!$K$2:$K$225,A41,'Pickup log'!$D$2:$D$225,B41,'Pickup log'!$G$2:$G$225,C41,'Pickup log'!$E$2:$E$225,"Economy")</f>
        <v>1</v>
      </c>
      <c r="I41" s="5" t="n">
        <f aca="false">IF(H41=0,0,_xlfn.MAXIFS('Pickup log'!$H$2:$H$225,'Pickup log'!$K$2:$K$225,A41,'Pickup log'!$D$2:$D$225,B41,'Pickup log'!$G$2:$G$225,C41,'Pickup log'!$E$2:$E$225,"Economy"))</f>
        <v>18</v>
      </c>
      <c r="J41" s="5" t="n">
        <f aca="false">IF(H41=0,0,2*I41+Notes!$B$25*(H41-1))</f>
        <v>36</v>
      </c>
      <c r="K41" s="14" t="n">
        <f aca="false">IF(C41="Matador",J41/Notes!$B$21*Notes!$B$22,J41/Notes!$B$23*Notes!$B$24)</f>
        <v>193.3425</v>
      </c>
    </row>
    <row r="42" customFormat="false" ht="15" hidden="false" customHeight="false" outlineLevel="0" collapsed="false">
      <c r="A42" s="12" t="n">
        <v>45422</v>
      </c>
      <c r="B42" s="5" t="s">
        <v>56</v>
      </c>
      <c r="C42" s="5" t="s">
        <v>150</v>
      </c>
      <c r="D42" s="5" t="n">
        <f aca="false">COUNTIFS('Pickup log'!$K$2:$K$225,A42,'Pickup log'!$D$2:$D$225,B42,'Pickup log'!$G$2:$G$225,C42)</f>
        <v>0</v>
      </c>
      <c r="E42" s="5" t="n">
        <f aca="false">IF(D42=0,0,_xlfn.MAXIFS('Pickup log'!$H$2:$H$225,'Pickup log'!$K$2:$K$225,A42,'Pickup log'!$D$2:$D$225,B42,'Pickup log'!$G$2:$G$225,C42))</f>
        <v>0</v>
      </c>
      <c r="F42" s="5" t="n">
        <f aca="false">IF(D42=0,0,2*E42+Notes!$B$25*(D42-1))</f>
        <v>0</v>
      </c>
      <c r="G42" s="14" t="n">
        <f aca="false">IF(C42="Matador",F42/Notes!$B$21*Notes!$B$22,F42/Notes!$B$23*Notes!$B$24)</f>
        <v>0</v>
      </c>
      <c r="H42" s="5" t="n">
        <f aca="false">COUNTIFS('Pickup log'!$K$2:$K$225,A42,'Pickup log'!$D$2:$D$225,B42,'Pickup log'!$G$2:$G$225,C42,'Pickup log'!$E$2:$E$225,"Economy")</f>
        <v>0</v>
      </c>
      <c r="I42" s="5" t="n">
        <f aca="false">IF(H42=0,0,_xlfn.MAXIFS('Pickup log'!$H$2:$H$225,'Pickup log'!$K$2:$K$225,A42,'Pickup log'!$D$2:$D$225,B42,'Pickup log'!$G$2:$G$225,C42,'Pickup log'!$E$2:$E$225,"Economy"))</f>
        <v>0</v>
      </c>
      <c r="J42" s="5" t="n">
        <f aca="false">IF(H42=0,0,2*I42+Notes!$B$25*(H42-1))</f>
        <v>0</v>
      </c>
      <c r="K42" s="14" t="n">
        <f aca="false">IF(C42="Matador",J42/Notes!$B$21*Notes!$B$22,J42/Notes!$B$23*Notes!$B$24)</f>
        <v>0</v>
      </c>
    </row>
    <row r="43" customFormat="false" ht="15" hidden="false" customHeight="false" outlineLevel="0" collapsed="false">
      <c r="A43" s="12" t="n">
        <v>45422</v>
      </c>
      <c r="B43" s="5" t="s">
        <v>56</v>
      </c>
      <c r="C43" s="5" t="s">
        <v>151</v>
      </c>
      <c r="D43" s="5" t="n">
        <f aca="false">COUNTIFS('Pickup log'!$K$2:$K$225,A43,'Pickup log'!$D$2:$D$225,B43,'Pickup log'!$G$2:$G$225,C43)</f>
        <v>0</v>
      </c>
      <c r="E43" s="5" t="n">
        <f aca="false">IF(D43=0,0,_xlfn.MAXIFS('Pickup log'!$H$2:$H$225,'Pickup log'!$K$2:$K$225,A43,'Pickup log'!$D$2:$D$225,B43,'Pickup log'!$G$2:$G$225,C43))</f>
        <v>0</v>
      </c>
      <c r="F43" s="5" t="n">
        <f aca="false">IF(D43=0,0,2*E43+Notes!$B$25*(D43-1))</f>
        <v>0</v>
      </c>
      <c r="G43" s="14" t="n">
        <f aca="false">IF(C43="Matador",F43/Notes!$B$21*Notes!$B$22,F43/Notes!$B$23*Notes!$B$24)</f>
        <v>0</v>
      </c>
      <c r="H43" s="5" t="n">
        <f aca="false">COUNTIFS('Pickup log'!$K$2:$K$225,A43,'Pickup log'!$D$2:$D$225,B43,'Pickup log'!$G$2:$G$225,C43,'Pickup log'!$E$2:$E$225,"Economy")</f>
        <v>0</v>
      </c>
      <c r="I43" s="5" t="n">
        <f aca="false">IF(H43=0,0,_xlfn.MAXIFS('Pickup log'!$H$2:$H$225,'Pickup log'!$K$2:$K$225,A43,'Pickup log'!$D$2:$D$225,B43,'Pickup log'!$G$2:$G$225,C43,'Pickup log'!$E$2:$E$225,"Economy"))</f>
        <v>0</v>
      </c>
      <c r="J43" s="5" t="n">
        <f aca="false">IF(H43=0,0,2*I43+Notes!$B$25*(H43-1))</f>
        <v>0</v>
      </c>
      <c r="K43" s="14" t="n">
        <f aca="false">IF(C43="Matador",J43/Notes!$B$21*Notes!$B$22,J43/Notes!$B$23*Notes!$B$24)</f>
        <v>0</v>
      </c>
    </row>
    <row r="44" customFormat="false" ht="15" hidden="false" customHeight="false" outlineLevel="0" collapsed="false">
      <c r="A44" s="12" t="n">
        <v>45422</v>
      </c>
      <c r="B44" s="5" t="s">
        <v>73</v>
      </c>
      <c r="C44" s="5" t="s">
        <v>150</v>
      </c>
      <c r="D44" s="5" t="n">
        <f aca="false">COUNTIFS('Pickup log'!$K$2:$K$225,A44,'Pickup log'!$D$2:$D$225,B44,'Pickup log'!$G$2:$G$225,C44)</f>
        <v>0</v>
      </c>
      <c r="E44" s="5" t="n">
        <f aca="false">IF(D44=0,0,_xlfn.MAXIFS('Pickup log'!$H$2:$H$225,'Pickup log'!$K$2:$K$225,A44,'Pickup log'!$D$2:$D$225,B44,'Pickup log'!$G$2:$G$225,C44))</f>
        <v>0</v>
      </c>
      <c r="F44" s="5" t="n">
        <f aca="false">IF(D44=0,0,2*E44+Notes!$B$25*(D44-1))</f>
        <v>0</v>
      </c>
      <c r="G44" s="14" t="n">
        <f aca="false">IF(C44="Matador",F44/Notes!$B$21*Notes!$B$22,F44/Notes!$B$23*Notes!$B$24)</f>
        <v>0</v>
      </c>
      <c r="H44" s="5" t="n">
        <f aca="false">COUNTIFS('Pickup log'!$K$2:$K$225,A44,'Pickup log'!$D$2:$D$225,B44,'Pickup log'!$G$2:$G$225,C44,'Pickup log'!$E$2:$E$225,"Economy")</f>
        <v>0</v>
      </c>
      <c r="I44" s="5" t="n">
        <f aca="false">IF(H44=0,0,_xlfn.MAXIFS('Pickup log'!$H$2:$H$225,'Pickup log'!$K$2:$K$225,A44,'Pickup log'!$D$2:$D$225,B44,'Pickup log'!$G$2:$G$225,C44,'Pickup log'!$E$2:$E$225,"Economy"))</f>
        <v>0</v>
      </c>
      <c r="J44" s="5" t="n">
        <f aca="false">IF(H44=0,0,2*I44+Notes!$B$25*(H44-1))</f>
        <v>0</v>
      </c>
      <c r="K44" s="14" t="n">
        <f aca="false">IF(C44="Matador",J44/Notes!$B$21*Notes!$B$22,J44/Notes!$B$23*Notes!$B$24)</f>
        <v>0</v>
      </c>
    </row>
    <row r="45" customFormat="false" ht="15" hidden="false" customHeight="false" outlineLevel="0" collapsed="false">
      <c r="A45" s="12" t="n">
        <v>45422</v>
      </c>
      <c r="B45" s="5" t="s">
        <v>73</v>
      </c>
      <c r="C45" s="5" t="s">
        <v>151</v>
      </c>
      <c r="D45" s="5" t="n">
        <f aca="false">COUNTIFS('Pickup log'!$K$2:$K$225,A45,'Pickup log'!$D$2:$D$225,B45,'Pickup log'!$G$2:$G$225,C45)</f>
        <v>2</v>
      </c>
      <c r="E45" s="5" t="n">
        <f aca="false">IF(D45=0,0,_xlfn.MAXIFS('Pickup log'!$H$2:$H$225,'Pickup log'!$K$2:$K$225,A45,'Pickup log'!$D$2:$D$225,B45,'Pickup log'!$G$2:$G$225,C45))</f>
        <v>7</v>
      </c>
      <c r="F45" s="5" t="n">
        <f aca="false">IF(D45=0,0,2*E45+Notes!$B$25*(D45-1))</f>
        <v>16</v>
      </c>
      <c r="G45" s="14" t="n">
        <f aca="false">IF(C45="Matador",F45/Notes!$B$21*Notes!$B$22,F45/Notes!$B$23*Notes!$B$24)</f>
        <v>85.93</v>
      </c>
      <c r="H45" s="5" t="n">
        <f aca="false">COUNTIFS('Pickup log'!$K$2:$K$225,A45,'Pickup log'!$D$2:$D$225,B45,'Pickup log'!$G$2:$G$225,C45,'Pickup log'!$E$2:$E$225,"Economy")</f>
        <v>2</v>
      </c>
      <c r="I45" s="5" t="n">
        <f aca="false">IF(H45=0,0,_xlfn.MAXIFS('Pickup log'!$H$2:$H$225,'Pickup log'!$K$2:$K$225,A45,'Pickup log'!$D$2:$D$225,B45,'Pickup log'!$G$2:$G$225,C45,'Pickup log'!$E$2:$E$225,"Economy"))</f>
        <v>7</v>
      </c>
      <c r="J45" s="5" t="n">
        <f aca="false">IF(H45=0,0,2*I45+Notes!$B$25*(H45-1))</f>
        <v>16</v>
      </c>
      <c r="K45" s="14" t="n">
        <f aca="false">IF(C45="Matador",J45/Notes!$B$21*Notes!$B$22,J45/Notes!$B$23*Notes!$B$24)</f>
        <v>85.93</v>
      </c>
    </row>
    <row r="46" customFormat="false" ht="15" hidden="false" customHeight="false" outlineLevel="0" collapsed="false">
      <c r="A46" s="12" t="n">
        <v>45422</v>
      </c>
      <c r="B46" s="5" t="s">
        <v>90</v>
      </c>
      <c r="C46" s="5" t="s">
        <v>150</v>
      </c>
      <c r="D46" s="5" t="n">
        <f aca="false">COUNTIFS('Pickup log'!$K$2:$K$225,A46,'Pickup log'!$D$2:$D$225,B46,'Pickup log'!$G$2:$G$225,C46)</f>
        <v>3</v>
      </c>
      <c r="E46" s="5" t="n">
        <f aca="false">IF(D46=0,0,_xlfn.MAXIFS('Pickup log'!$H$2:$H$225,'Pickup log'!$K$2:$K$225,A46,'Pickup log'!$D$2:$D$225,B46,'Pickup log'!$G$2:$G$225,C46))</f>
        <v>9</v>
      </c>
      <c r="F46" s="5" t="n">
        <f aca="false">IF(D46=0,0,2*E46+Notes!$B$25*(D46-1))</f>
        <v>22</v>
      </c>
      <c r="G46" s="14" t="n">
        <f aca="false">IF(C46="Matador",F46/Notes!$B$21*Notes!$B$22,F46/Notes!$B$23*Notes!$B$24)</f>
        <v>48.8106666666667</v>
      </c>
      <c r="H46" s="5" t="n">
        <f aca="false">COUNTIFS('Pickup log'!$K$2:$K$225,A46,'Pickup log'!$D$2:$D$225,B46,'Pickup log'!$G$2:$G$225,C46,'Pickup log'!$E$2:$E$225,"Economy")</f>
        <v>3</v>
      </c>
      <c r="I46" s="5" t="n">
        <f aca="false">IF(H46=0,0,_xlfn.MAXIFS('Pickup log'!$H$2:$H$225,'Pickup log'!$K$2:$K$225,A46,'Pickup log'!$D$2:$D$225,B46,'Pickup log'!$G$2:$G$225,C46,'Pickup log'!$E$2:$E$225,"Economy"))</f>
        <v>9</v>
      </c>
      <c r="J46" s="5" t="n">
        <f aca="false">IF(H46=0,0,2*I46+Notes!$B$25*(H46-1))</f>
        <v>22</v>
      </c>
      <c r="K46" s="14" t="n">
        <f aca="false">IF(C46="Matador",J46/Notes!$B$21*Notes!$B$22,J46/Notes!$B$23*Notes!$B$24)</f>
        <v>48.8106666666667</v>
      </c>
    </row>
    <row r="47" customFormat="false" ht="15" hidden="false" customHeight="false" outlineLevel="0" collapsed="false">
      <c r="A47" s="12" t="n">
        <v>45422</v>
      </c>
      <c r="B47" s="5" t="s">
        <v>90</v>
      </c>
      <c r="C47" s="5" t="s">
        <v>151</v>
      </c>
      <c r="D47" s="5" t="n">
        <f aca="false">COUNTIFS('Pickup log'!$K$2:$K$225,A47,'Pickup log'!$D$2:$D$225,B47,'Pickup log'!$G$2:$G$225,C47)</f>
        <v>0</v>
      </c>
      <c r="E47" s="5" t="n">
        <f aca="false">IF(D47=0,0,_xlfn.MAXIFS('Pickup log'!$H$2:$H$225,'Pickup log'!$K$2:$K$225,A47,'Pickup log'!$D$2:$D$225,B47,'Pickup log'!$G$2:$G$225,C47))</f>
        <v>0</v>
      </c>
      <c r="F47" s="5" t="n">
        <f aca="false">IF(D47=0,0,2*E47+Notes!$B$25*(D47-1))</f>
        <v>0</v>
      </c>
      <c r="G47" s="14" t="n">
        <f aca="false">IF(C47="Matador",F47/Notes!$B$21*Notes!$B$22,F47/Notes!$B$23*Notes!$B$24)</f>
        <v>0</v>
      </c>
      <c r="H47" s="5" t="n">
        <f aca="false">COUNTIFS('Pickup log'!$K$2:$K$225,A47,'Pickup log'!$D$2:$D$225,B47,'Pickup log'!$G$2:$G$225,C47,'Pickup log'!$E$2:$E$225,"Economy")</f>
        <v>0</v>
      </c>
      <c r="I47" s="5" t="n">
        <f aca="false">IF(H47=0,0,_xlfn.MAXIFS('Pickup log'!$H$2:$H$225,'Pickup log'!$K$2:$K$225,A47,'Pickup log'!$D$2:$D$225,B47,'Pickup log'!$G$2:$G$225,C47,'Pickup log'!$E$2:$E$225,"Economy"))</f>
        <v>0</v>
      </c>
      <c r="J47" s="5" t="n">
        <f aca="false">IF(H47=0,0,2*I47+Notes!$B$25*(H47-1))</f>
        <v>0</v>
      </c>
      <c r="K47" s="14" t="n">
        <f aca="false">IF(C47="Matador",J47/Notes!$B$21*Notes!$B$22,J47/Notes!$B$23*Notes!$B$24)</f>
        <v>0</v>
      </c>
    </row>
    <row r="48" customFormat="false" ht="15" hidden="false" customHeight="false" outlineLevel="0" collapsed="false">
      <c r="A48" s="12" t="n">
        <v>45422</v>
      </c>
      <c r="B48" s="5" t="s">
        <v>101</v>
      </c>
      <c r="C48" s="5" t="s">
        <v>150</v>
      </c>
      <c r="D48" s="5" t="n">
        <f aca="false">COUNTIFS('Pickup log'!$K$2:$K$225,A48,'Pickup log'!$D$2:$D$225,B48,'Pickup log'!$G$2:$G$225,C48)</f>
        <v>3</v>
      </c>
      <c r="E48" s="5" t="n">
        <f aca="false">IF(D48=0,0,_xlfn.MAXIFS('Pickup log'!$H$2:$H$225,'Pickup log'!$K$2:$K$225,A48,'Pickup log'!$D$2:$D$225,B48,'Pickup log'!$G$2:$G$225,C48))</f>
        <v>14.5</v>
      </c>
      <c r="F48" s="5" t="n">
        <f aca="false">IF(D48=0,0,2*E48+Notes!$B$25*(D48-1))</f>
        <v>33</v>
      </c>
      <c r="G48" s="14" t="n">
        <f aca="false">IF(C48="Matador",F48/Notes!$B$21*Notes!$B$22,F48/Notes!$B$23*Notes!$B$24)</f>
        <v>73.216</v>
      </c>
      <c r="H48" s="5" t="n">
        <f aca="false">COUNTIFS('Pickup log'!$K$2:$K$225,A48,'Pickup log'!$D$2:$D$225,B48,'Pickup log'!$G$2:$G$225,C48,'Pickup log'!$E$2:$E$225,"Economy")</f>
        <v>3</v>
      </c>
      <c r="I48" s="5" t="n">
        <f aca="false">IF(H48=0,0,_xlfn.MAXIFS('Pickup log'!$H$2:$H$225,'Pickup log'!$K$2:$K$225,A48,'Pickup log'!$D$2:$D$225,B48,'Pickup log'!$G$2:$G$225,C48,'Pickup log'!$E$2:$E$225,"Economy"))</f>
        <v>14.5</v>
      </c>
      <c r="J48" s="5" t="n">
        <f aca="false">IF(H48=0,0,2*I48+Notes!$B$25*(H48-1))</f>
        <v>33</v>
      </c>
      <c r="K48" s="14" t="n">
        <f aca="false">IF(C48="Matador",J48/Notes!$B$21*Notes!$B$22,J48/Notes!$B$23*Notes!$B$24)</f>
        <v>73.216</v>
      </c>
    </row>
    <row r="49" customFormat="false" ht="15" hidden="false" customHeight="false" outlineLevel="0" collapsed="false">
      <c r="A49" s="12" t="n">
        <v>45422</v>
      </c>
      <c r="B49" s="5" t="s">
        <v>101</v>
      </c>
      <c r="C49" s="5" t="s">
        <v>151</v>
      </c>
      <c r="D49" s="5" t="n">
        <f aca="false">COUNTIFS('Pickup log'!$K$2:$K$225,A49,'Pickup log'!$D$2:$D$225,B49,'Pickup log'!$G$2:$G$225,C49)</f>
        <v>0</v>
      </c>
      <c r="E49" s="5" t="n">
        <f aca="false">IF(D49=0,0,_xlfn.MAXIFS('Pickup log'!$H$2:$H$225,'Pickup log'!$K$2:$K$225,A49,'Pickup log'!$D$2:$D$225,B49,'Pickup log'!$G$2:$G$225,C49))</f>
        <v>0</v>
      </c>
      <c r="F49" s="5" t="n">
        <f aca="false">IF(D49=0,0,2*E49+Notes!$B$25*(D49-1))</f>
        <v>0</v>
      </c>
      <c r="G49" s="14" t="n">
        <f aca="false">IF(C49="Matador",F49/Notes!$B$21*Notes!$B$22,F49/Notes!$B$23*Notes!$B$24)</f>
        <v>0</v>
      </c>
      <c r="H49" s="5" t="n">
        <f aca="false">COUNTIFS('Pickup log'!$K$2:$K$225,A49,'Pickup log'!$D$2:$D$225,B49,'Pickup log'!$G$2:$G$225,C49,'Pickup log'!$E$2:$E$225,"Economy")</f>
        <v>0</v>
      </c>
      <c r="I49" s="5" t="n">
        <f aca="false">IF(H49=0,0,_xlfn.MAXIFS('Pickup log'!$H$2:$H$225,'Pickup log'!$K$2:$K$225,A49,'Pickup log'!$D$2:$D$225,B49,'Pickup log'!$G$2:$G$225,C49,'Pickup log'!$E$2:$E$225,"Economy"))</f>
        <v>0</v>
      </c>
      <c r="J49" s="5" t="n">
        <f aca="false">IF(H49=0,0,2*I49+Notes!$B$25*(H49-1))</f>
        <v>0</v>
      </c>
      <c r="K49" s="14" t="n">
        <f aca="false">IF(C49="Matador",J49/Notes!$B$21*Notes!$B$22,J49/Notes!$B$23*Notes!$B$24)</f>
        <v>0</v>
      </c>
    </row>
    <row r="50" customFormat="false" ht="15" hidden="false" customHeight="false" outlineLevel="0" collapsed="false">
      <c r="A50" s="12" t="n">
        <v>45422</v>
      </c>
      <c r="B50" s="5" t="s">
        <v>114</v>
      </c>
      <c r="C50" s="5" t="s">
        <v>150</v>
      </c>
      <c r="D50" s="5" t="n">
        <f aca="false">COUNTIFS('Pickup log'!$K$2:$K$225,A50,'Pickup log'!$D$2:$D$225,B50,'Pickup log'!$G$2:$G$225,C50)</f>
        <v>0</v>
      </c>
      <c r="E50" s="5" t="n">
        <f aca="false">IF(D50=0,0,_xlfn.MAXIFS('Pickup log'!$H$2:$H$225,'Pickup log'!$K$2:$K$225,A50,'Pickup log'!$D$2:$D$225,B50,'Pickup log'!$G$2:$G$225,C50))</f>
        <v>0</v>
      </c>
      <c r="F50" s="5" t="n">
        <f aca="false">IF(D50=0,0,2*E50+Notes!$B$25*(D50-1))</f>
        <v>0</v>
      </c>
      <c r="G50" s="14" t="n">
        <f aca="false">IF(C50="Matador",F50/Notes!$B$21*Notes!$B$22,F50/Notes!$B$23*Notes!$B$24)</f>
        <v>0</v>
      </c>
      <c r="H50" s="5" t="n">
        <f aca="false">COUNTIFS('Pickup log'!$K$2:$K$225,A50,'Pickup log'!$D$2:$D$225,B50,'Pickup log'!$G$2:$G$225,C50,'Pickup log'!$E$2:$E$225,"Economy")</f>
        <v>0</v>
      </c>
      <c r="I50" s="5" t="n">
        <f aca="false">IF(H50=0,0,_xlfn.MAXIFS('Pickup log'!$H$2:$H$225,'Pickup log'!$K$2:$K$225,A50,'Pickup log'!$D$2:$D$225,B50,'Pickup log'!$G$2:$G$225,C50,'Pickup log'!$E$2:$E$225,"Economy"))</f>
        <v>0</v>
      </c>
      <c r="J50" s="5" t="n">
        <f aca="false">IF(H50=0,0,2*I50+Notes!$B$25*(H50-1))</f>
        <v>0</v>
      </c>
      <c r="K50" s="14" t="n">
        <f aca="false">IF(C50="Matador",J50/Notes!$B$21*Notes!$B$22,J50/Notes!$B$23*Notes!$B$24)</f>
        <v>0</v>
      </c>
    </row>
    <row r="51" customFormat="false" ht="15" hidden="false" customHeight="false" outlineLevel="0" collapsed="false">
      <c r="A51" s="12" t="n">
        <v>45422</v>
      </c>
      <c r="B51" s="5" t="s">
        <v>114</v>
      </c>
      <c r="C51" s="5" t="s">
        <v>151</v>
      </c>
      <c r="D51" s="5" t="n">
        <f aca="false">COUNTIFS('Pickup log'!$K$2:$K$225,A51,'Pickup log'!$D$2:$D$225,B51,'Pickup log'!$G$2:$G$225,C51)</f>
        <v>1</v>
      </c>
      <c r="E51" s="5" t="n">
        <f aca="false">IF(D51=0,0,_xlfn.MAXIFS('Pickup log'!$H$2:$H$225,'Pickup log'!$K$2:$K$225,A51,'Pickup log'!$D$2:$D$225,B51,'Pickup log'!$G$2:$G$225,C51))</f>
        <v>10</v>
      </c>
      <c r="F51" s="5" t="n">
        <f aca="false">IF(D51=0,0,2*E51+Notes!$B$25*(D51-1))</f>
        <v>20</v>
      </c>
      <c r="G51" s="14" t="n">
        <f aca="false">IF(C51="Matador",F51/Notes!$B$21*Notes!$B$22,F51/Notes!$B$23*Notes!$B$24)</f>
        <v>107.4125</v>
      </c>
      <c r="H51" s="5" t="n">
        <f aca="false">COUNTIFS('Pickup log'!$K$2:$K$225,A51,'Pickup log'!$D$2:$D$225,B51,'Pickup log'!$G$2:$G$225,C51,'Pickup log'!$E$2:$E$225,"Economy")</f>
        <v>1</v>
      </c>
      <c r="I51" s="5" t="n">
        <f aca="false">IF(H51=0,0,_xlfn.MAXIFS('Pickup log'!$H$2:$H$225,'Pickup log'!$K$2:$K$225,A51,'Pickup log'!$D$2:$D$225,B51,'Pickup log'!$G$2:$G$225,C51,'Pickup log'!$E$2:$E$225,"Economy"))</f>
        <v>10</v>
      </c>
      <c r="J51" s="5" t="n">
        <f aca="false">IF(H51=0,0,2*I51+Notes!$B$25*(H51-1))</f>
        <v>20</v>
      </c>
      <c r="K51" s="14" t="n">
        <f aca="false">IF(C51="Matador",J51/Notes!$B$21*Notes!$B$22,J51/Notes!$B$23*Notes!$B$24)</f>
        <v>107.4125</v>
      </c>
    </row>
    <row r="52" customFormat="false" ht="15" hidden="false" customHeight="false" outlineLevel="0" collapsed="false">
      <c r="A52" s="12" t="n">
        <v>45423</v>
      </c>
      <c r="B52" s="5" t="s">
        <v>56</v>
      </c>
      <c r="C52" s="5" t="s">
        <v>150</v>
      </c>
      <c r="D52" s="5" t="n">
        <f aca="false">COUNTIFS('Pickup log'!$K$2:$K$225,A52,'Pickup log'!$D$2:$D$225,B52,'Pickup log'!$G$2:$G$225,C52)</f>
        <v>3</v>
      </c>
      <c r="E52" s="5" t="n">
        <f aca="false">IF(D52=0,0,_xlfn.MAXIFS('Pickup log'!$H$2:$H$225,'Pickup log'!$K$2:$K$225,A52,'Pickup log'!$D$2:$D$225,B52,'Pickup log'!$G$2:$G$225,C52))</f>
        <v>6</v>
      </c>
      <c r="F52" s="5" t="n">
        <f aca="false">IF(D52=0,0,2*E52+Notes!$B$25*(D52-1))</f>
        <v>16</v>
      </c>
      <c r="G52" s="14" t="n">
        <f aca="false">IF(C52="Matador",F52/Notes!$B$21*Notes!$B$22,F52/Notes!$B$23*Notes!$B$24)</f>
        <v>35.4986666666667</v>
      </c>
      <c r="H52" s="5" t="n">
        <f aca="false">COUNTIFS('Pickup log'!$K$2:$K$225,A52,'Pickup log'!$D$2:$D$225,B52,'Pickup log'!$G$2:$G$225,C52,'Pickup log'!$E$2:$E$225,"Economy")</f>
        <v>2</v>
      </c>
      <c r="I52" s="5" t="n">
        <f aca="false">IF(H52=0,0,_xlfn.MAXIFS('Pickup log'!$H$2:$H$225,'Pickup log'!$K$2:$K$225,A52,'Pickup log'!$D$2:$D$225,B52,'Pickup log'!$G$2:$G$225,C52,'Pickup log'!$E$2:$E$225,"Economy"))</f>
        <v>6</v>
      </c>
      <c r="J52" s="5" t="n">
        <f aca="false">IF(H52=0,0,2*I52+Notes!$B$25*(H52-1))</f>
        <v>14</v>
      </c>
      <c r="K52" s="14" t="n">
        <f aca="false">IF(C52="Matador",J52/Notes!$B$21*Notes!$B$22,J52/Notes!$B$23*Notes!$B$24)</f>
        <v>31.0613333333333</v>
      </c>
    </row>
    <row r="53" customFormat="false" ht="15" hidden="false" customHeight="false" outlineLevel="0" collapsed="false">
      <c r="A53" s="12" t="n">
        <v>45423</v>
      </c>
      <c r="B53" s="5" t="s">
        <v>56</v>
      </c>
      <c r="C53" s="5" t="s">
        <v>151</v>
      </c>
      <c r="D53" s="5" t="n">
        <f aca="false">COUNTIFS('Pickup log'!$K$2:$K$225,A53,'Pickup log'!$D$2:$D$225,B53,'Pickup log'!$G$2:$G$225,C53)</f>
        <v>0</v>
      </c>
      <c r="E53" s="5" t="n">
        <f aca="false">IF(D53=0,0,_xlfn.MAXIFS('Pickup log'!$H$2:$H$225,'Pickup log'!$K$2:$K$225,A53,'Pickup log'!$D$2:$D$225,B53,'Pickup log'!$G$2:$G$225,C53))</f>
        <v>0</v>
      </c>
      <c r="F53" s="5" t="n">
        <f aca="false">IF(D53=0,0,2*E53+Notes!$B$25*(D53-1))</f>
        <v>0</v>
      </c>
      <c r="G53" s="14" t="n">
        <f aca="false">IF(C53="Matador",F53/Notes!$B$21*Notes!$B$22,F53/Notes!$B$23*Notes!$B$24)</f>
        <v>0</v>
      </c>
      <c r="H53" s="5" t="n">
        <f aca="false">COUNTIFS('Pickup log'!$K$2:$K$225,A53,'Pickup log'!$D$2:$D$225,B53,'Pickup log'!$G$2:$G$225,C53,'Pickup log'!$E$2:$E$225,"Economy")</f>
        <v>0</v>
      </c>
      <c r="I53" s="5" t="n">
        <f aca="false">IF(H53=0,0,_xlfn.MAXIFS('Pickup log'!$H$2:$H$225,'Pickup log'!$K$2:$K$225,A53,'Pickup log'!$D$2:$D$225,B53,'Pickup log'!$G$2:$G$225,C53,'Pickup log'!$E$2:$E$225,"Economy"))</f>
        <v>0</v>
      </c>
      <c r="J53" s="5" t="n">
        <f aca="false">IF(H53=0,0,2*I53+Notes!$B$25*(H53-1))</f>
        <v>0</v>
      </c>
      <c r="K53" s="14" t="n">
        <f aca="false">IF(C53="Matador",J53/Notes!$B$21*Notes!$B$22,J53/Notes!$B$23*Notes!$B$24)</f>
        <v>0</v>
      </c>
    </row>
    <row r="54" customFormat="false" ht="15" hidden="false" customHeight="false" outlineLevel="0" collapsed="false">
      <c r="A54" s="12" t="n">
        <v>45423</v>
      </c>
      <c r="B54" s="5" t="s">
        <v>73</v>
      </c>
      <c r="C54" s="5" t="s">
        <v>150</v>
      </c>
      <c r="D54" s="5" t="n">
        <f aca="false">COUNTIFS('Pickup log'!$K$2:$K$225,A54,'Pickup log'!$D$2:$D$225,B54,'Pickup log'!$G$2:$G$225,C54)</f>
        <v>1</v>
      </c>
      <c r="E54" s="5" t="n">
        <f aca="false">IF(D54=0,0,_xlfn.MAXIFS('Pickup log'!$H$2:$H$225,'Pickup log'!$K$2:$K$225,A54,'Pickup log'!$D$2:$D$225,B54,'Pickup log'!$G$2:$G$225,C54))</f>
        <v>2.5</v>
      </c>
      <c r="F54" s="5" t="n">
        <f aca="false">IF(D54=0,0,2*E54+Notes!$B$25*(D54-1))</f>
        <v>5</v>
      </c>
      <c r="G54" s="14" t="n">
        <f aca="false">IF(C54="Matador",F54/Notes!$B$21*Notes!$B$22,F54/Notes!$B$23*Notes!$B$24)</f>
        <v>11.0933333333333</v>
      </c>
      <c r="H54" s="5" t="n">
        <f aca="false">COUNTIFS('Pickup log'!$K$2:$K$225,A54,'Pickup log'!$D$2:$D$225,B54,'Pickup log'!$G$2:$G$225,C54,'Pickup log'!$E$2:$E$225,"Economy")</f>
        <v>0</v>
      </c>
      <c r="I54" s="5" t="n">
        <f aca="false">IF(H54=0,0,_xlfn.MAXIFS('Pickup log'!$H$2:$H$225,'Pickup log'!$K$2:$K$225,A54,'Pickup log'!$D$2:$D$225,B54,'Pickup log'!$G$2:$G$225,C54,'Pickup log'!$E$2:$E$225,"Economy"))</f>
        <v>0</v>
      </c>
      <c r="J54" s="5" t="n">
        <f aca="false">IF(H54=0,0,2*I54+Notes!$B$25*(H54-1))</f>
        <v>0</v>
      </c>
      <c r="K54" s="14" t="n">
        <f aca="false">IF(C54="Matador",J54/Notes!$B$21*Notes!$B$22,J54/Notes!$B$23*Notes!$B$24)</f>
        <v>0</v>
      </c>
    </row>
    <row r="55" customFormat="false" ht="15" hidden="false" customHeight="false" outlineLevel="0" collapsed="false">
      <c r="A55" s="12" t="n">
        <v>45423</v>
      </c>
      <c r="B55" s="5" t="s">
        <v>73</v>
      </c>
      <c r="C55" s="5" t="s">
        <v>151</v>
      </c>
      <c r="D55" s="5" t="n">
        <f aca="false">COUNTIFS('Pickup log'!$K$2:$K$225,A55,'Pickup log'!$D$2:$D$225,B55,'Pickup log'!$G$2:$G$225,C55)</f>
        <v>1</v>
      </c>
      <c r="E55" s="5" t="n">
        <f aca="false">IF(D55=0,0,_xlfn.MAXIFS('Pickup log'!$H$2:$H$225,'Pickup log'!$K$2:$K$225,A55,'Pickup log'!$D$2:$D$225,B55,'Pickup log'!$G$2:$G$225,C55))</f>
        <v>4.5</v>
      </c>
      <c r="F55" s="5" t="n">
        <f aca="false">IF(D55=0,0,2*E55+Notes!$B$25*(D55-1))</f>
        <v>9</v>
      </c>
      <c r="G55" s="14" t="n">
        <f aca="false">IF(C55="Matador",F55/Notes!$B$21*Notes!$B$22,F55/Notes!$B$23*Notes!$B$24)</f>
        <v>48.335625</v>
      </c>
      <c r="H55" s="5" t="n">
        <f aca="false">COUNTIFS('Pickup log'!$K$2:$K$225,A55,'Pickup log'!$D$2:$D$225,B55,'Pickup log'!$G$2:$G$225,C55,'Pickup log'!$E$2:$E$225,"Economy")</f>
        <v>1</v>
      </c>
      <c r="I55" s="5" t="n">
        <f aca="false">IF(H55=0,0,_xlfn.MAXIFS('Pickup log'!$H$2:$H$225,'Pickup log'!$K$2:$K$225,A55,'Pickup log'!$D$2:$D$225,B55,'Pickup log'!$G$2:$G$225,C55,'Pickup log'!$E$2:$E$225,"Economy"))</f>
        <v>4.5</v>
      </c>
      <c r="J55" s="5" t="n">
        <f aca="false">IF(H55=0,0,2*I55+Notes!$B$25*(H55-1))</f>
        <v>9</v>
      </c>
      <c r="K55" s="14" t="n">
        <f aca="false">IF(C55="Matador",J55/Notes!$B$21*Notes!$B$22,J55/Notes!$B$23*Notes!$B$24)</f>
        <v>48.335625</v>
      </c>
    </row>
    <row r="56" customFormat="false" ht="15" hidden="false" customHeight="false" outlineLevel="0" collapsed="false">
      <c r="A56" s="12" t="n">
        <v>45423</v>
      </c>
      <c r="B56" s="5" t="s">
        <v>90</v>
      </c>
      <c r="C56" s="5" t="s">
        <v>150</v>
      </c>
      <c r="D56" s="5" t="n">
        <f aca="false">COUNTIFS('Pickup log'!$K$2:$K$225,A56,'Pickup log'!$D$2:$D$225,B56,'Pickup log'!$G$2:$G$225,C56)</f>
        <v>2</v>
      </c>
      <c r="E56" s="5" t="n">
        <f aca="false">IF(D56=0,0,_xlfn.MAXIFS('Pickup log'!$H$2:$H$225,'Pickup log'!$K$2:$K$225,A56,'Pickup log'!$D$2:$D$225,B56,'Pickup log'!$G$2:$G$225,C56))</f>
        <v>9</v>
      </c>
      <c r="F56" s="5" t="n">
        <f aca="false">IF(D56=0,0,2*E56+Notes!$B$25*(D56-1))</f>
        <v>20</v>
      </c>
      <c r="G56" s="14" t="n">
        <f aca="false">IF(C56="Matador",F56/Notes!$B$21*Notes!$B$22,F56/Notes!$B$23*Notes!$B$24)</f>
        <v>44.3733333333333</v>
      </c>
      <c r="H56" s="5" t="n">
        <f aca="false">COUNTIFS('Pickup log'!$K$2:$K$225,A56,'Pickup log'!$D$2:$D$225,B56,'Pickup log'!$G$2:$G$225,C56,'Pickup log'!$E$2:$E$225,"Economy")</f>
        <v>1</v>
      </c>
      <c r="I56" s="5" t="n">
        <f aca="false">IF(H56=0,0,_xlfn.MAXIFS('Pickup log'!$H$2:$H$225,'Pickup log'!$K$2:$K$225,A56,'Pickup log'!$D$2:$D$225,B56,'Pickup log'!$G$2:$G$225,C56,'Pickup log'!$E$2:$E$225,"Economy"))</f>
        <v>4.5</v>
      </c>
      <c r="J56" s="5" t="n">
        <f aca="false">IF(H56=0,0,2*I56+Notes!$B$25*(H56-1))</f>
        <v>9</v>
      </c>
      <c r="K56" s="14" t="n">
        <f aca="false">IF(C56="Matador",J56/Notes!$B$21*Notes!$B$22,J56/Notes!$B$23*Notes!$B$24)</f>
        <v>19.968</v>
      </c>
    </row>
    <row r="57" customFormat="false" ht="15" hidden="false" customHeight="false" outlineLevel="0" collapsed="false">
      <c r="A57" s="12" t="n">
        <v>45423</v>
      </c>
      <c r="B57" s="5" t="s">
        <v>90</v>
      </c>
      <c r="C57" s="5" t="s">
        <v>151</v>
      </c>
      <c r="D57" s="5" t="n">
        <f aca="false">COUNTIFS('Pickup log'!$K$2:$K$225,A57,'Pickup log'!$D$2:$D$225,B57,'Pickup log'!$G$2:$G$225,C57)</f>
        <v>3</v>
      </c>
      <c r="E57" s="5" t="n">
        <f aca="false">IF(D57=0,0,_xlfn.MAXIFS('Pickup log'!$H$2:$H$225,'Pickup log'!$K$2:$K$225,A57,'Pickup log'!$D$2:$D$225,B57,'Pickup log'!$G$2:$G$225,C57))</f>
        <v>5.5</v>
      </c>
      <c r="F57" s="5" t="n">
        <f aca="false">IF(D57=0,0,2*E57+Notes!$B$25*(D57-1))</f>
        <v>15</v>
      </c>
      <c r="G57" s="14" t="n">
        <f aca="false">IF(C57="Matador",F57/Notes!$B$21*Notes!$B$22,F57/Notes!$B$23*Notes!$B$24)</f>
        <v>80.559375</v>
      </c>
      <c r="H57" s="5" t="n">
        <f aca="false">COUNTIFS('Pickup log'!$K$2:$K$225,A57,'Pickup log'!$D$2:$D$225,B57,'Pickup log'!$G$2:$G$225,C57,'Pickup log'!$E$2:$E$225,"Economy")</f>
        <v>1</v>
      </c>
      <c r="I57" s="5" t="n">
        <f aca="false">IF(H57=0,0,_xlfn.MAXIFS('Pickup log'!$H$2:$H$225,'Pickup log'!$K$2:$K$225,A57,'Pickup log'!$D$2:$D$225,B57,'Pickup log'!$G$2:$G$225,C57,'Pickup log'!$E$2:$E$225,"Economy"))</f>
        <v>4.5</v>
      </c>
      <c r="J57" s="5" t="n">
        <f aca="false">IF(H57=0,0,2*I57+Notes!$B$25*(H57-1))</f>
        <v>9</v>
      </c>
      <c r="K57" s="14" t="n">
        <f aca="false">IF(C57="Matador",J57/Notes!$B$21*Notes!$B$22,J57/Notes!$B$23*Notes!$B$24)</f>
        <v>48.335625</v>
      </c>
    </row>
    <row r="58" customFormat="false" ht="15" hidden="false" customHeight="false" outlineLevel="0" collapsed="false">
      <c r="A58" s="12" t="n">
        <v>45423</v>
      </c>
      <c r="B58" s="5" t="s">
        <v>101</v>
      </c>
      <c r="C58" s="5" t="s">
        <v>150</v>
      </c>
      <c r="D58" s="5" t="n">
        <f aca="false">COUNTIFS('Pickup log'!$K$2:$K$225,A58,'Pickup log'!$D$2:$D$225,B58,'Pickup log'!$G$2:$G$225,C58)</f>
        <v>1</v>
      </c>
      <c r="E58" s="5" t="n">
        <f aca="false">IF(D58=0,0,_xlfn.MAXIFS('Pickup log'!$H$2:$H$225,'Pickup log'!$K$2:$K$225,A58,'Pickup log'!$D$2:$D$225,B58,'Pickup log'!$G$2:$G$225,C58))</f>
        <v>19</v>
      </c>
      <c r="F58" s="5" t="n">
        <f aca="false">IF(D58=0,0,2*E58+Notes!$B$25*(D58-1))</f>
        <v>38</v>
      </c>
      <c r="G58" s="14" t="n">
        <f aca="false">IF(C58="Matador",F58/Notes!$B$21*Notes!$B$22,F58/Notes!$B$23*Notes!$B$24)</f>
        <v>84.3093333333333</v>
      </c>
      <c r="H58" s="5" t="n">
        <f aca="false">COUNTIFS('Pickup log'!$K$2:$K$225,A58,'Pickup log'!$D$2:$D$225,B58,'Pickup log'!$G$2:$G$225,C58,'Pickup log'!$E$2:$E$225,"Economy")</f>
        <v>1</v>
      </c>
      <c r="I58" s="5" t="n">
        <f aca="false">IF(H58=0,0,_xlfn.MAXIFS('Pickup log'!$H$2:$H$225,'Pickup log'!$K$2:$K$225,A58,'Pickup log'!$D$2:$D$225,B58,'Pickup log'!$G$2:$G$225,C58,'Pickup log'!$E$2:$E$225,"Economy"))</f>
        <v>19</v>
      </c>
      <c r="J58" s="5" t="n">
        <f aca="false">IF(H58=0,0,2*I58+Notes!$B$25*(H58-1))</f>
        <v>38</v>
      </c>
      <c r="K58" s="14" t="n">
        <f aca="false">IF(C58="Matador",J58/Notes!$B$21*Notes!$B$22,J58/Notes!$B$23*Notes!$B$24)</f>
        <v>84.3093333333333</v>
      </c>
    </row>
    <row r="59" customFormat="false" ht="15" hidden="false" customHeight="false" outlineLevel="0" collapsed="false">
      <c r="A59" s="12" t="n">
        <v>45423</v>
      </c>
      <c r="B59" s="5" t="s">
        <v>101</v>
      </c>
      <c r="C59" s="5" t="s">
        <v>151</v>
      </c>
      <c r="D59" s="5" t="n">
        <f aca="false">COUNTIFS('Pickup log'!$K$2:$K$225,A59,'Pickup log'!$D$2:$D$225,B59,'Pickup log'!$G$2:$G$225,C59)</f>
        <v>0</v>
      </c>
      <c r="E59" s="5" t="n">
        <f aca="false">IF(D59=0,0,_xlfn.MAXIFS('Pickup log'!$H$2:$H$225,'Pickup log'!$K$2:$K$225,A59,'Pickup log'!$D$2:$D$225,B59,'Pickup log'!$G$2:$G$225,C59))</f>
        <v>0</v>
      </c>
      <c r="F59" s="5" t="n">
        <f aca="false">IF(D59=0,0,2*E59+Notes!$B$25*(D59-1))</f>
        <v>0</v>
      </c>
      <c r="G59" s="14" t="n">
        <f aca="false">IF(C59="Matador",F59/Notes!$B$21*Notes!$B$22,F59/Notes!$B$23*Notes!$B$24)</f>
        <v>0</v>
      </c>
      <c r="H59" s="5" t="n">
        <f aca="false">COUNTIFS('Pickup log'!$K$2:$K$225,A59,'Pickup log'!$D$2:$D$225,B59,'Pickup log'!$G$2:$G$225,C59,'Pickup log'!$E$2:$E$225,"Economy")</f>
        <v>0</v>
      </c>
      <c r="I59" s="5" t="n">
        <f aca="false">IF(H59=0,0,_xlfn.MAXIFS('Pickup log'!$H$2:$H$225,'Pickup log'!$K$2:$K$225,A59,'Pickup log'!$D$2:$D$225,B59,'Pickup log'!$G$2:$G$225,C59,'Pickup log'!$E$2:$E$225,"Economy"))</f>
        <v>0</v>
      </c>
      <c r="J59" s="5" t="n">
        <f aca="false">IF(H59=0,0,2*I59+Notes!$B$25*(H59-1))</f>
        <v>0</v>
      </c>
      <c r="K59" s="14" t="n">
        <f aca="false">IF(C59="Matador",J59/Notes!$B$21*Notes!$B$22,J59/Notes!$B$23*Notes!$B$24)</f>
        <v>0</v>
      </c>
    </row>
    <row r="60" customFormat="false" ht="15" hidden="false" customHeight="false" outlineLevel="0" collapsed="false">
      <c r="A60" s="12" t="n">
        <v>45423</v>
      </c>
      <c r="B60" s="5" t="s">
        <v>114</v>
      </c>
      <c r="C60" s="5" t="s">
        <v>150</v>
      </c>
      <c r="D60" s="5" t="n">
        <f aca="false">COUNTIFS('Pickup log'!$K$2:$K$225,A60,'Pickup log'!$D$2:$D$225,B60,'Pickup log'!$G$2:$G$225,C60)</f>
        <v>0</v>
      </c>
      <c r="E60" s="5" t="n">
        <f aca="false">IF(D60=0,0,_xlfn.MAXIFS('Pickup log'!$H$2:$H$225,'Pickup log'!$K$2:$K$225,A60,'Pickup log'!$D$2:$D$225,B60,'Pickup log'!$G$2:$G$225,C60))</f>
        <v>0</v>
      </c>
      <c r="F60" s="5" t="n">
        <f aca="false">IF(D60=0,0,2*E60+Notes!$B$25*(D60-1))</f>
        <v>0</v>
      </c>
      <c r="G60" s="14" t="n">
        <f aca="false">IF(C60="Matador",F60/Notes!$B$21*Notes!$B$22,F60/Notes!$B$23*Notes!$B$24)</f>
        <v>0</v>
      </c>
      <c r="H60" s="5" t="n">
        <f aca="false">COUNTIFS('Pickup log'!$K$2:$K$225,A60,'Pickup log'!$D$2:$D$225,B60,'Pickup log'!$G$2:$G$225,C60,'Pickup log'!$E$2:$E$225,"Economy")</f>
        <v>0</v>
      </c>
      <c r="I60" s="5" t="n">
        <f aca="false">IF(H60=0,0,_xlfn.MAXIFS('Pickup log'!$H$2:$H$225,'Pickup log'!$K$2:$K$225,A60,'Pickup log'!$D$2:$D$225,B60,'Pickup log'!$G$2:$G$225,C60,'Pickup log'!$E$2:$E$225,"Economy"))</f>
        <v>0</v>
      </c>
      <c r="J60" s="5" t="n">
        <f aca="false">IF(H60=0,0,2*I60+Notes!$B$25*(H60-1))</f>
        <v>0</v>
      </c>
      <c r="K60" s="14" t="n">
        <f aca="false">IF(C60="Matador",J60/Notes!$B$21*Notes!$B$22,J60/Notes!$B$23*Notes!$B$24)</f>
        <v>0</v>
      </c>
    </row>
    <row r="61" customFormat="false" ht="15" hidden="false" customHeight="false" outlineLevel="0" collapsed="false">
      <c r="A61" s="12" t="n">
        <v>45423</v>
      </c>
      <c r="B61" s="5" t="s">
        <v>114</v>
      </c>
      <c r="C61" s="5" t="s">
        <v>151</v>
      </c>
      <c r="D61" s="5" t="n">
        <f aca="false">COUNTIFS('Pickup log'!$K$2:$K$225,A61,'Pickup log'!$D$2:$D$225,B61,'Pickup log'!$G$2:$G$225,C61)</f>
        <v>0</v>
      </c>
      <c r="E61" s="5" t="n">
        <f aca="false">IF(D61=0,0,_xlfn.MAXIFS('Pickup log'!$H$2:$H$225,'Pickup log'!$K$2:$K$225,A61,'Pickup log'!$D$2:$D$225,B61,'Pickup log'!$G$2:$G$225,C61))</f>
        <v>0</v>
      </c>
      <c r="F61" s="5" t="n">
        <f aca="false">IF(D61=0,0,2*E61+Notes!$B$25*(D61-1))</f>
        <v>0</v>
      </c>
      <c r="G61" s="14" t="n">
        <f aca="false">IF(C61="Matador",F61/Notes!$B$21*Notes!$B$22,F61/Notes!$B$23*Notes!$B$24)</f>
        <v>0</v>
      </c>
      <c r="H61" s="5" t="n">
        <f aca="false">COUNTIFS('Pickup log'!$K$2:$K$225,A61,'Pickup log'!$D$2:$D$225,B61,'Pickup log'!$G$2:$G$225,C61,'Pickup log'!$E$2:$E$225,"Economy")</f>
        <v>0</v>
      </c>
      <c r="I61" s="5" t="n">
        <f aca="false">IF(H61=0,0,_xlfn.MAXIFS('Pickup log'!$H$2:$H$225,'Pickup log'!$K$2:$K$225,A61,'Pickup log'!$D$2:$D$225,B61,'Pickup log'!$G$2:$G$225,C61,'Pickup log'!$E$2:$E$225,"Economy"))</f>
        <v>0</v>
      </c>
      <c r="J61" s="5" t="n">
        <f aca="false">IF(H61=0,0,2*I61+Notes!$B$25*(H61-1))</f>
        <v>0</v>
      </c>
      <c r="K61" s="14" t="n">
        <f aca="false">IF(C61="Matador",J61/Notes!$B$21*Notes!$B$22,J61/Notes!$B$23*Notes!$B$24)</f>
        <v>0</v>
      </c>
    </row>
    <row r="62" customFormat="false" ht="15" hidden="false" customHeight="false" outlineLevel="0" collapsed="false">
      <c r="A62" s="12" t="n">
        <v>45425</v>
      </c>
      <c r="B62" s="5" t="s">
        <v>56</v>
      </c>
      <c r="C62" s="5" t="s">
        <v>150</v>
      </c>
      <c r="D62" s="5" t="n">
        <f aca="false">COUNTIFS('Pickup log'!$K$2:$K$225,A62,'Pickup log'!$D$2:$D$225,B62,'Pickup log'!$G$2:$G$225,C62)</f>
        <v>2</v>
      </c>
      <c r="E62" s="5" t="n">
        <f aca="false">IF(D62=0,0,_xlfn.MAXIFS('Pickup log'!$H$2:$H$225,'Pickup log'!$K$2:$K$225,A62,'Pickup log'!$D$2:$D$225,B62,'Pickup log'!$G$2:$G$225,C62))</f>
        <v>2</v>
      </c>
      <c r="F62" s="5" t="n">
        <f aca="false">IF(D62=0,0,2*E62+Notes!$B$25*(D62-1))</f>
        <v>6</v>
      </c>
      <c r="G62" s="14" t="n">
        <f aca="false">IF(C62="Matador",F62/Notes!$B$21*Notes!$B$22,F62/Notes!$B$23*Notes!$B$24)</f>
        <v>13.312</v>
      </c>
      <c r="H62" s="5" t="n">
        <f aca="false">COUNTIFS('Pickup log'!$K$2:$K$225,A62,'Pickup log'!$D$2:$D$225,B62,'Pickup log'!$G$2:$G$225,C62,'Pickup log'!$E$2:$E$225,"Economy")</f>
        <v>2</v>
      </c>
      <c r="I62" s="5" t="n">
        <f aca="false">IF(H62=0,0,_xlfn.MAXIFS('Pickup log'!$H$2:$H$225,'Pickup log'!$K$2:$K$225,A62,'Pickup log'!$D$2:$D$225,B62,'Pickup log'!$G$2:$G$225,C62,'Pickup log'!$E$2:$E$225,"Economy"))</f>
        <v>2</v>
      </c>
      <c r="J62" s="5" t="n">
        <f aca="false">IF(H62=0,0,2*I62+Notes!$B$25*(H62-1))</f>
        <v>6</v>
      </c>
      <c r="K62" s="14" t="n">
        <f aca="false">IF(C62="Matador",J62/Notes!$B$21*Notes!$B$22,J62/Notes!$B$23*Notes!$B$24)</f>
        <v>13.312</v>
      </c>
    </row>
    <row r="63" customFormat="false" ht="15" hidden="false" customHeight="false" outlineLevel="0" collapsed="false">
      <c r="A63" s="12" t="n">
        <v>45425</v>
      </c>
      <c r="B63" s="5" t="s">
        <v>56</v>
      </c>
      <c r="C63" s="5" t="s">
        <v>151</v>
      </c>
      <c r="D63" s="5" t="n">
        <f aca="false">COUNTIFS('Pickup log'!$K$2:$K$225,A63,'Pickup log'!$D$2:$D$225,B63,'Pickup log'!$G$2:$G$225,C63)</f>
        <v>2</v>
      </c>
      <c r="E63" s="5" t="n">
        <f aca="false">IF(D63=0,0,_xlfn.MAXIFS('Pickup log'!$H$2:$H$225,'Pickup log'!$K$2:$K$225,A63,'Pickup log'!$D$2:$D$225,B63,'Pickup log'!$G$2:$G$225,C63))</f>
        <v>3.5</v>
      </c>
      <c r="F63" s="5" t="n">
        <f aca="false">IF(D63=0,0,2*E63+Notes!$B$25*(D63-1))</f>
        <v>9</v>
      </c>
      <c r="G63" s="14" t="n">
        <f aca="false">IF(C63="Matador",F63/Notes!$B$21*Notes!$B$22,F63/Notes!$B$23*Notes!$B$24)</f>
        <v>48.335625</v>
      </c>
      <c r="H63" s="5" t="n">
        <f aca="false">COUNTIFS('Pickup log'!$K$2:$K$225,A63,'Pickup log'!$D$2:$D$225,B63,'Pickup log'!$G$2:$G$225,C63,'Pickup log'!$E$2:$E$225,"Economy")</f>
        <v>0</v>
      </c>
      <c r="I63" s="5" t="n">
        <f aca="false">IF(H63=0,0,_xlfn.MAXIFS('Pickup log'!$H$2:$H$225,'Pickup log'!$K$2:$K$225,A63,'Pickup log'!$D$2:$D$225,B63,'Pickup log'!$G$2:$G$225,C63,'Pickup log'!$E$2:$E$225,"Economy"))</f>
        <v>0</v>
      </c>
      <c r="J63" s="5" t="n">
        <f aca="false">IF(H63=0,0,2*I63+Notes!$B$25*(H63-1))</f>
        <v>0</v>
      </c>
      <c r="K63" s="14" t="n">
        <f aca="false">IF(C63="Matador",J63/Notes!$B$21*Notes!$B$22,J63/Notes!$B$23*Notes!$B$24)</f>
        <v>0</v>
      </c>
    </row>
    <row r="64" customFormat="false" ht="15" hidden="false" customHeight="false" outlineLevel="0" collapsed="false">
      <c r="A64" s="12" t="n">
        <v>45425</v>
      </c>
      <c r="B64" s="5" t="s">
        <v>73</v>
      </c>
      <c r="C64" s="5" t="s">
        <v>150</v>
      </c>
      <c r="D64" s="5" t="n">
        <f aca="false">COUNTIFS('Pickup log'!$K$2:$K$225,A64,'Pickup log'!$D$2:$D$225,B64,'Pickup log'!$G$2:$G$225,C64)</f>
        <v>2</v>
      </c>
      <c r="E64" s="5" t="n">
        <f aca="false">IF(D64=0,0,_xlfn.MAXIFS('Pickup log'!$H$2:$H$225,'Pickup log'!$K$2:$K$225,A64,'Pickup log'!$D$2:$D$225,B64,'Pickup log'!$G$2:$G$225,C64))</f>
        <v>9</v>
      </c>
      <c r="F64" s="5" t="n">
        <f aca="false">IF(D64=0,0,2*E64+Notes!$B$25*(D64-1))</f>
        <v>20</v>
      </c>
      <c r="G64" s="14" t="n">
        <f aca="false">IF(C64="Matador",F64/Notes!$B$21*Notes!$B$22,F64/Notes!$B$23*Notes!$B$24)</f>
        <v>44.3733333333333</v>
      </c>
      <c r="H64" s="5" t="n">
        <f aca="false">COUNTIFS('Pickup log'!$K$2:$K$225,A64,'Pickup log'!$D$2:$D$225,B64,'Pickup log'!$G$2:$G$225,C64,'Pickup log'!$E$2:$E$225,"Economy")</f>
        <v>2</v>
      </c>
      <c r="I64" s="5" t="n">
        <f aca="false">IF(H64=0,0,_xlfn.MAXIFS('Pickup log'!$H$2:$H$225,'Pickup log'!$K$2:$K$225,A64,'Pickup log'!$D$2:$D$225,B64,'Pickup log'!$G$2:$G$225,C64,'Pickup log'!$E$2:$E$225,"Economy"))</f>
        <v>9</v>
      </c>
      <c r="J64" s="5" t="n">
        <f aca="false">IF(H64=0,0,2*I64+Notes!$B$25*(H64-1))</f>
        <v>20</v>
      </c>
      <c r="K64" s="14" t="n">
        <f aca="false">IF(C64="Matador",J64/Notes!$B$21*Notes!$B$22,J64/Notes!$B$23*Notes!$B$24)</f>
        <v>44.3733333333333</v>
      </c>
    </row>
    <row r="65" customFormat="false" ht="15" hidden="false" customHeight="false" outlineLevel="0" collapsed="false">
      <c r="A65" s="12" t="n">
        <v>45425</v>
      </c>
      <c r="B65" s="5" t="s">
        <v>73</v>
      </c>
      <c r="C65" s="5" t="s">
        <v>151</v>
      </c>
      <c r="D65" s="5" t="n">
        <f aca="false">COUNTIFS('Pickup log'!$K$2:$K$225,A65,'Pickup log'!$D$2:$D$225,B65,'Pickup log'!$G$2:$G$225,C65)</f>
        <v>0</v>
      </c>
      <c r="E65" s="5" t="n">
        <f aca="false">IF(D65=0,0,_xlfn.MAXIFS('Pickup log'!$H$2:$H$225,'Pickup log'!$K$2:$K$225,A65,'Pickup log'!$D$2:$D$225,B65,'Pickup log'!$G$2:$G$225,C65))</f>
        <v>0</v>
      </c>
      <c r="F65" s="5" t="n">
        <f aca="false">IF(D65=0,0,2*E65+Notes!$B$25*(D65-1))</f>
        <v>0</v>
      </c>
      <c r="G65" s="14" t="n">
        <f aca="false">IF(C65="Matador",F65/Notes!$B$21*Notes!$B$22,F65/Notes!$B$23*Notes!$B$24)</f>
        <v>0</v>
      </c>
      <c r="H65" s="5" t="n">
        <f aca="false">COUNTIFS('Pickup log'!$K$2:$K$225,A65,'Pickup log'!$D$2:$D$225,B65,'Pickup log'!$G$2:$G$225,C65,'Pickup log'!$E$2:$E$225,"Economy")</f>
        <v>0</v>
      </c>
      <c r="I65" s="5" t="n">
        <f aca="false">IF(H65=0,0,_xlfn.MAXIFS('Pickup log'!$H$2:$H$225,'Pickup log'!$K$2:$K$225,A65,'Pickup log'!$D$2:$D$225,B65,'Pickup log'!$G$2:$G$225,C65,'Pickup log'!$E$2:$E$225,"Economy"))</f>
        <v>0</v>
      </c>
      <c r="J65" s="5" t="n">
        <f aca="false">IF(H65=0,0,2*I65+Notes!$B$25*(H65-1))</f>
        <v>0</v>
      </c>
      <c r="K65" s="14" t="n">
        <f aca="false">IF(C65="Matador",J65/Notes!$B$21*Notes!$B$22,J65/Notes!$B$23*Notes!$B$24)</f>
        <v>0</v>
      </c>
    </row>
    <row r="66" customFormat="false" ht="15" hidden="false" customHeight="false" outlineLevel="0" collapsed="false">
      <c r="A66" s="12" t="n">
        <v>45425</v>
      </c>
      <c r="B66" s="5" t="s">
        <v>90</v>
      </c>
      <c r="C66" s="5" t="s">
        <v>150</v>
      </c>
      <c r="D66" s="5" t="n">
        <f aca="false">COUNTIFS('Pickup log'!$K$2:$K$225,A66,'Pickup log'!$D$2:$D$225,B66,'Pickup log'!$G$2:$G$225,C66)</f>
        <v>2</v>
      </c>
      <c r="E66" s="5" t="n">
        <f aca="false">IF(D66=0,0,_xlfn.MAXIFS('Pickup log'!$H$2:$H$225,'Pickup log'!$K$2:$K$225,A66,'Pickup log'!$D$2:$D$225,B66,'Pickup log'!$G$2:$G$225,C66))</f>
        <v>5.5</v>
      </c>
      <c r="F66" s="5" t="n">
        <f aca="false">IF(D66=0,0,2*E66+Notes!$B$25*(D66-1))</f>
        <v>13</v>
      </c>
      <c r="G66" s="14" t="n">
        <f aca="false">IF(C66="Matador",F66/Notes!$B$21*Notes!$B$22,F66/Notes!$B$23*Notes!$B$24)</f>
        <v>28.8426666666667</v>
      </c>
      <c r="H66" s="5" t="n">
        <f aca="false">COUNTIFS('Pickup log'!$K$2:$K$225,A66,'Pickup log'!$D$2:$D$225,B66,'Pickup log'!$G$2:$G$225,C66,'Pickup log'!$E$2:$E$225,"Economy")</f>
        <v>2</v>
      </c>
      <c r="I66" s="5" t="n">
        <f aca="false">IF(H66=0,0,_xlfn.MAXIFS('Pickup log'!$H$2:$H$225,'Pickup log'!$K$2:$K$225,A66,'Pickup log'!$D$2:$D$225,B66,'Pickup log'!$G$2:$G$225,C66,'Pickup log'!$E$2:$E$225,"Economy"))</f>
        <v>5.5</v>
      </c>
      <c r="J66" s="5" t="n">
        <f aca="false">IF(H66=0,0,2*I66+Notes!$B$25*(H66-1))</f>
        <v>13</v>
      </c>
      <c r="K66" s="14" t="n">
        <f aca="false">IF(C66="Matador",J66/Notes!$B$21*Notes!$B$22,J66/Notes!$B$23*Notes!$B$24)</f>
        <v>28.8426666666667</v>
      </c>
    </row>
    <row r="67" customFormat="false" ht="15" hidden="false" customHeight="false" outlineLevel="0" collapsed="false">
      <c r="A67" s="12" t="n">
        <v>45425</v>
      </c>
      <c r="B67" s="5" t="s">
        <v>90</v>
      </c>
      <c r="C67" s="5" t="s">
        <v>151</v>
      </c>
      <c r="D67" s="5" t="n">
        <f aca="false">COUNTIFS('Pickup log'!$K$2:$K$225,A67,'Pickup log'!$D$2:$D$225,B67,'Pickup log'!$G$2:$G$225,C67)</f>
        <v>0</v>
      </c>
      <c r="E67" s="5" t="n">
        <f aca="false">IF(D67=0,0,_xlfn.MAXIFS('Pickup log'!$H$2:$H$225,'Pickup log'!$K$2:$K$225,A67,'Pickup log'!$D$2:$D$225,B67,'Pickup log'!$G$2:$G$225,C67))</f>
        <v>0</v>
      </c>
      <c r="F67" s="5" t="n">
        <f aca="false">IF(D67=0,0,2*E67+Notes!$B$25*(D67-1))</f>
        <v>0</v>
      </c>
      <c r="G67" s="14" t="n">
        <f aca="false">IF(C67="Matador",F67/Notes!$B$21*Notes!$B$22,F67/Notes!$B$23*Notes!$B$24)</f>
        <v>0</v>
      </c>
      <c r="H67" s="5" t="n">
        <f aca="false">COUNTIFS('Pickup log'!$K$2:$K$225,A67,'Pickup log'!$D$2:$D$225,B67,'Pickup log'!$G$2:$G$225,C67,'Pickup log'!$E$2:$E$225,"Economy")</f>
        <v>0</v>
      </c>
      <c r="I67" s="5" t="n">
        <f aca="false">IF(H67=0,0,_xlfn.MAXIFS('Pickup log'!$H$2:$H$225,'Pickup log'!$K$2:$K$225,A67,'Pickup log'!$D$2:$D$225,B67,'Pickup log'!$G$2:$G$225,C67,'Pickup log'!$E$2:$E$225,"Economy"))</f>
        <v>0</v>
      </c>
      <c r="J67" s="5" t="n">
        <f aca="false">IF(H67=0,0,2*I67+Notes!$B$25*(H67-1))</f>
        <v>0</v>
      </c>
      <c r="K67" s="14" t="n">
        <f aca="false">IF(C67="Matador",J67/Notes!$B$21*Notes!$B$22,J67/Notes!$B$23*Notes!$B$24)</f>
        <v>0</v>
      </c>
    </row>
    <row r="68" customFormat="false" ht="15" hidden="false" customHeight="false" outlineLevel="0" collapsed="false">
      <c r="A68" s="12" t="n">
        <v>45425</v>
      </c>
      <c r="B68" s="5" t="s">
        <v>101</v>
      </c>
      <c r="C68" s="5" t="s">
        <v>150</v>
      </c>
      <c r="D68" s="5" t="n">
        <f aca="false">COUNTIFS('Pickup log'!$K$2:$K$225,A68,'Pickup log'!$D$2:$D$225,B68,'Pickup log'!$G$2:$G$225,C68)</f>
        <v>0</v>
      </c>
      <c r="E68" s="5" t="n">
        <f aca="false">IF(D68=0,0,_xlfn.MAXIFS('Pickup log'!$H$2:$H$225,'Pickup log'!$K$2:$K$225,A68,'Pickup log'!$D$2:$D$225,B68,'Pickup log'!$G$2:$G$225,C68))</f>
        <v>0</v>
      </c>
      <c r="F68" s="5" t="n">
        <f aca="false">IF(D68=0,0,2*E68+Notes!$B$25*(D68-1))</f>
        <v>0</v>
      </c>
      <c r="G68" s="14" t="n">
        <f aca="false">IF(C68="Matador",F68/Notes!$B$21*Notes!$B$22,F68/Notes!$B$23*Notes!$B$24)</f>
        <v>0</v>
      </c>
      <c r="H68" s="5" t="n">
        <f aca="false">COUNTIFS('Pickup log'!$K$2:$K$225,A68,'Pickup log'!$D$2:$D$225,B68,'Pickup log'!$G$2:$G$225,C68,'Pickup log'!$E$2:$E$225,"Economy")</f>
        <v>0</v>
      </c>
      <c r="I68" s="5" t="n">
        <f aca="false">IF(H68=0,0,_xlfn.MAXIFS('Pickup log'!$H$2:$H$225,'Pickup log'!$K$2:$K$225,A68,'Pickup log'!$D$2:$D$225,B68,'Pickup log'!$G$2:$G$225,C68,'Pickup log'!$E$2:$E$225,"Economy"))</f>
        <v>0</v>
      </c>
      <c r="J68" s="5" t="n">
        <f aca="false">IF(H68=0,0,2*I68+Notes!$B$25*(H68-1))</f>
        <v>0</v>
      </c>
      <c r="K68" s="14" t="n">
        <f aca="false">IF(C68="Matador",J68/Notes!$B$21*Notes!$B$22,J68/Notes!$B$23*Notes!$B$24)</f>
        <v>0</v>
      </c>
    </row>
    <row r="69" customFormat="false" ht="15" hidden="false" customHeight="false" outlineLevel="0" collapsed="false">
      <c r="A69" s="12" t="n">
        <v>45425</v>
      </c>
      <c r="B69" s="5" t="s">
        <v>101</v>
      </c>
      <c r="C69" s="5" t="s">
        <v>151</v>
      </c>
      <c r="D69" s="5" t="n">
        <f aca="false">COUNTIFS('Pickup log'!$K$2:$K$225,A69,'Pickup log'!$D$2:$D$225,B69,'Pickup log'!$G$2:$G$225,C69)</f>
        <v>1</v>
      </c>
      <c r="E69" s="5" t="n">
        <f aca="false">IF(D69=0,0,_xlfn.MAXIFS('Pickup log'!$H$2:$H$225,'Pickup log'!$K$2:$K$225,A69,'Pickup log'!$D$2:$D$225,B69,'Pickup log'!$G$2:$G$225,C69))</f>
        <v>12.5</v>
      </c>
      <c r="F69" s="5" t="n">
        <f aca="false">IF(D69=0,0,2*E69+Notes!$B$25*(D69-1))</f>
        <v>25</v>
      </c>
      <c r="G69" s="14" t="n">
        <f aca="false">IF(C69="Matador",F69/Notes!$B$21*Notes!$B$22,F69/Notes!$B$23*Notes!$B$24)</f>
        <v>134.265625</v>
      </c>
      <c r="H69" s="5" t="n">
        <f aca="false">COUNTIFS('Pickup log'!$K$2:$K$225,A69,'Pickup log'!$D$2:$D$225,B69,'Pickup log'!$G$2:$G$225,C69,'Pickup log'!$E$2:$E$225,"Economy")</f>
        <v>1</v>
      </c>
      <c r="I69" s="5" t="n">
        <f aca="false">IF(H69=0,0,_xlfn.MAXIFS('Pickup log'!$H$2:$H$225,'Pickup log'!$K$2:$K$225,A69,'Pickup log'!$D$2:$D$225,B69,'Pickup log'!$G$2:$G$225,C69,'Pickup log'!$E$2:$E$225,"Economy"))</f>
        <v>12.5</v>
      </c>
      <c r="J69" s="5" t="n">
        <f aca="false">IF(H69=0,0,2*I69+Notes!$B$25*(H69-1))</f>
        <v>25</v>
      </c>
      <c r="K69" s="14" t="n">
        <f aca="false">IF(C69="Matador",J69/Notes!$B$21*Notes!$B$22,J69/Notes!$B$23*Notes!$B$24)</f>
        <v>134.265625</v>
      </c>
    </row>
    <row r="70" customFormat="false" ht="15" hidden="false" customHeight="false" outlineLevel="0" collapsed="false">
      <c r="A70" s="12" t="n">
        <v>45425</v>
      </c>
      <c r="B70" s="5" t="s">
        <v>114</v>
      </c>
      <c r="C70" s="5" t="s">
        <v>150</v>
      </c>
      <c r="D70" s="5" t="n">
        <f aca="false">COUNTIFS('Pickup log'!$K$2:$K$225,A70,'Pickup log'!$D$2:$D$225,B70,'Pickup log'!$G$2:$G$225,C70)</f>
        <v>1</v>
      </c>
      <c r="E70" s="5" t="n">
        <f aca="false">IF(D70=0,0,_xlfn.MAXIFS('Pickup log'!$H$2:$H$225,'Pickup log'!$K$2:$K$225,A70,'Pickup log'!$D$2:$D$225,B70,'Pickup log'!$G$2:$G$225,C70))</f>
        <v>10</v>
      </c>
      <c r="F70" s="5" t="n">
        <f aca="false">IF(D70=0,0,2*E70+Notes!$B$25*(D70-1))</f>
        <v>20</v>
      </c>
      <c r="G70" s="14" t="n">
        <f aca="false">IF(C70="Matador",F70/Notes!$B$21*Notes!$B$22,F70/Notes!$B$23*Notes!$B$24)</f>
        <v>44.3733333333333</v>
      </c>
      <c r="H70" s="5" t="n">
        <f aca="false">COUNTIFS('Pickup log'!$K$2:$K$225,A70,'Pickup log'!$D$2:$D$225,B70,'Pickup log'!$G$2:$G$225,C70,'Pickup log'!$E$2:$E$225,"Economy")</f>
        <v>1</v>
      </c>
      <c r="I70" s="5" t="n">
        <f aca="false">IF(H70=0,0,_xlfn.MAXIFS('Pickup log'!$H$2:$H$225,'Pickup log'!$K$2:$K$225,A70,'Pickup log'!$D$2:$D$225,B70,'Pickup log'!$G$2:$G$225,C70,'Pickup log'!$E$2:$E$225,"Economy"))</f>
        <v>10</v>
      </c>
      <c r="J70" s="5" t="n">
        <f aca="false">IF(H70=0,0,2*I70+Notes!$B$25*(H70-1))</f>
        <v>20</v>
      </c>
      <c r="K70" s="14" t="n">
        <f aca="false">IF(C70="Matador",J70/Notes!$B$21*Notes!$B$22,J70/Notes!$B$23*Notes!$B$24)</f>
        <v>44.3733333333333</v>
      </c>
    </row>
    <row r="71" customFormat="false" ht="15" hidden="false" customHeight="false" outlineLevel="0" collapsed="false">
      <c r="A71" s="12" t="n">
        <v>45425</v>
      </c>
      <c r="B71" s="5" t="s">
        <v>114</v>
      </c>
      <c r="C71" s="5" t="s">
        <v>151</v>
      </c>
      <c r="D71" s="5" t="n">
        <f aca="false">COUNTIFS('Pickup log'!$K$2:$K$225,A71,'Pickup log'!$D$2:$D$225,B71,'Pickup log'!$G$2:$G$225,C71)</f>
        <v>0</v>
      </c>
      <c r="E71" s="5" t="n">
        <f aca="false">IF(D71=0,0,_xlfn.MAXIFS('Pickup log'!$H$2:$H$225,'Pickup log'!$K$2:$K$225,A71,'Pickup log'!$D$2:$D$225,B71,'Pickup log'!$G$2:$G$225,C71))</f>
        <v>0</v>
      </c>
      <c r="F71" s="5" t="n">
        <f aca="false">IF(D71=0,0,2*E71+Notes!$B$25*(D71-1))</f>
        <v>0</v>
      </c>
      <c r="G71" s="14" t="n">
        <f aca="false">IF(C71="Matador",F71/Notes!$B$21*Notes!$B$22,F71/Notes!$B$23*Notes!$B$24)</f>
        <v>0</v>
      </c>
      <c r="H71" s="5" t="n">
        <f aca="false">COUNTIFS('Pickup log'!$K$2:$K$225,A71,'Pickup log'!$D$2:$D$225,B71,'Pickup log'!$G$2:$G$225,C71,'Pickup log'!$E$2:$E$225,"Economy")</f>
        <v>0</v>
      </c>
      <c r="I71" s="5" t="n">
        <f aca="false">IF(H71=0,0,_xlfn.MAXIFS('Pickup log'!$H$2:$H$225,'Pickup log'!$K$2:$K$225,A71,'Pickup log'!$D$2:$D$225,B71,'Pickup log'!$G$2:$G$225,C71,'Pickup log'!$E$2:$E$225,"Economy"))</f>
        <v>0</v>
      </c>
      <c r="J71" s="5" t="n">
        <f aca="false">IF(H71=0,0,2*I71+Notes!$B$25*(H71-1))</f>
        <v>0</v>
      </c>
      <c r="K71" s="14" t="n">
        <f aca="false">IF(C71="Matador",J71/Notes!$B$21*Notes!$B$22,J71/Notes!$B$23*Notes!$B$24)</f>
        <v>0</v>
      </c>
    </row>
    <row r="72" customFormat="false" ht="15" hidden="false" customHeight="false" outlineLevel="0" collapsed="false">
      <c r="A72" s="12" t="n">
        <v>45426</v>
      </c>
      <c r="B72" s="5" t="s">
        <v>56</v>
      </c>
      <c r="C72" s="5" t="s">
        <v>150</v>
      </c>
      <c r="D72" s="5" t="n">
        <f aca="false">COUNTIFS('Pickup log'!$K$2:$K$225,A72,'Pickup log'!$D$2:$D$225,B72,'Pickup log'!$G$2:$G$225,C72)</f>
        <v>3</v>
      </c>
      <c r="E72" s="5" t="n">
        <f aca="false">IF(D72=0,0,_xlfn.MAXIFS('Pickup log'!$H$2:$H$225,'Pickup log'!$K$2:$K$225,A72,'Pickup log'!$D$2:$D$225,B72,'Pickup log'!$G$2:$G$225,C72))</f>
        <v>4.5</v>
      </c>
      <c r="F72" s="5" t="n">
        <f aca="false">IF(D72=0,0,2*E72+Notes!$B$25*(D72-1))</f>
        <v>13</v>
      </c>
      <c r="G72" s="14" t="n">
        <f aca="false">IF(C72="Matador",F72/Notes!$B$21*Notes!$B$22,F72/Notes!$B$23*Notes!$B$24)</f>
        <v>28.8426666666667</v>
      </c>
      <c r="H72" s="5" t="n">
        <f aca="false">COUNTIFS('Pickup log'!$K$2:$K$225,A72,'Pickup log'!$D$2:$D$225,B72,'Pickup log'!$G$2:$G$225,C72,'Pickup log'!$E$2:$E$225,"Economy")</f>
        <v>3</v>
      </c>
      <c r="I72" s="5" t="n">
        <f aca="false">IF(H72=0,0,_xlfn.MAXIFS('Pickup log'!$H$2:$H$225,'Pickup log'!$K$2:$K$225,A72,'Pickup log'!$D$2:$D$225,B72,'Pickup log'!$G$2:$G$225,C72,'Pickup log'!$E$2:$E$225,"Economy"))</f>
        <v>4.5</v>
      </c>
      <c r="J72" s="5" t="n">
        <f aca="false">IF(H72=0,0,2*I72+Notes!$B$25*(H72-1))</f>
        <v>13</v>
      </c>
      <c r="K72" s="14" t="n">
        <f aca="false">IF(C72="Matador",J72/Notes!$B$21*Notes!$B$22,J72/Notes!$B$23*Notes!$B$24)</f>
        <v>28.8426666666667</v>
      </c>
    </row>
    <row r="73" customFormat="false" ht="15" hidden="false" customHeight="false" outlineLevel="0" collapsed="false">
      <c r="A73" s="12" t="n">
        <v>45426</v>
      </c>
      <c r="B73" s="5" t="s">
        <v>56</v>
      </c>
      <c r="C73" s="5" t="s">
        <v>151</v>
      </c>
      <c r="D73" s="5" t="n">
        <f aca="false">COUNTIFS('Pickup log'!$K$2:$K$225,A73,'Pickup log'!$D$2:$D$225,B73,'Pickup log'!$G$2:$G$225,C73)</f>
        <v>1</v>
      </c>
      <c r="E73" s="5" t="n">
        <f aca="false">IF(D73=0,0,_xlfn.MAXIFS('Pickup log'!$H$2:$H$225,'Pickup log'!$K$2:$K$225,A73,'Pickup log'!$D$2:$D$225,B73,'Pickup log'!$G$2:$G$225,C73))</f>
        <v>2</v>
      </c>
      <c r="F73" s="5" t="n">
        <f aca="false">IF(D73=0,0,2*E73+Notes!$B$25*(D73-1))</f>
        <v>4</v>
      </c>
      <c r="G73" s="14" t="n">
        <f aca="false">IF(C73="Matador",F73/Notes!$B$21*Notes!$B$22,F73/Notes!$B$23*Notes!$B$24)</f>
        <v>21.4825</v>
      </c>
      <c r="H73" s="5" t="n">
        <f aca="false">COUNTIFS('Pickup log'!$K$2:$K$225,A73,'Pickup log'!$D$2:$D$225,B73,'Pickup log'!$G$2:$G$225,C73,'Pickup log'!$E$2:$E$225,"Economy")</f>
        <v>0</v>
      </c>
      <c r="I73" s="5" t="n">
        <f aca="false">IF(H73=0,0,_xlfn.MAXIFS('Pickup log'!$H$2:$H$225,'Pickup log'!$K$2:$K$225,A73,'Pickup log'!$D$2:$D$225,B73,'Pickup log'!$G$2:$G$225,C73,'Pickup log'!$E$2:$E$225,"Economy"))</f>
        <v>0</v>
      </c>
      <c r="J73" s="5" t="n">
        <f aca="false">IF(H73=0,0,2*I73+Notes!$B$25*(H73-1))</f>
        <v>0</v>
      </c>
      <c r="K73" s="14" t="n">
        <f aca="false">IF(C73="Matador",J73/Notes!$B$21*Notes!$B$22,J73/Notes!$B$23*Notes!$B$24)</f>
        <v>0</v>
      </c>
    </row>
    <row r="74" customFormat="false" ht="15" hidden="false" customHeight="false" outlineLevel="0" collapsed="false">
      <c r="A74" s="12" t="n">
        <v>45426</v>
      </c>
      <c r="B74" s="5" t="s">
        <v>73</v>
      </c>
      <c r="C74" s="5" t="s">
        <v>150</v>
      </c>
      <c r="D74" s="5" t="n">
        <f aca="false">COUNTIFS('Pickup log'!$K$2:$K$225,A74,'Pickup log'!$D$2:$D$225,B74,'Pickup log'!$G$2:$G$225,C74)</f>
        <v>0</v>
      </c>
      <c r="E74" s="5" t="n">
        <f aca="false">IF(D74=0,0,_xlfn.MAXIFS('Pickup log'!$H$2:$H$225,'Pickup log'!$K$2:$K$225,A74,'Pickup log'!$D$2:$D$225,B74,'Pickup log'!$G$2:$G$225,C74))</f>
        <v>0</v>
      </c>
      <c r="F74" s="5" t="n">
        <f aca="false">IF(D74=0,0,2*E74+Notes!$B$25*(D74-1))</f>
        <v>0</v>
      </c>
      <c r="G74" s="14" t="n">
        <f aca="false">IF(C74="Matador",F74/Notes!$B$21*Notes!$B$22,F74/Notes!$B$23*Notes!$B$24)</f>
        <v>0</v>
      </c>
      <c r="H74" s="5" t="n">
        <f aca="false">COUNTIFS('Pickup log'!$K$2:$K$225,A74,'Pickup log'!$D$2:$D$225,B74,'Pickup log'!$G$2:$G$225,C74,'Pickup log'!$E$2:$E$225,"Economy")</f>
        <v>0</v>
      </c>
      <c r="I74" s="5" t="n">
        <f aca="false">IF(H74=0,0,_xlfn.MAXIFS('Pickup log'!$H$2:$H$225,'Pickup log'!$K$2:$K$225,A74,'Pickup log'!$D$2:$D$225,B74,'Pickup log'!$G$2:$G$225,C74,'Pickup log'!$E$2:$E$225,"Economy"))</f>
        <v>0</v>
      </c>
      <c r="J74" s="5" t="n">
        <f aca="false">IF(H74=0,0,2*I74+Notes!$B$25*(H74-1))</f>
        <v>0</v>
      </c>
      <c r="K74" s="14" t="n">
        <f aca="false">IF(C74="Matador",J74/Notes!$B$21*Notes!$B$22,J74/Notes!$B$23*Notes!$B$24)</f>
        <v>0</v>
      </c>
    </row>
    <row r="75" customFormat="false" ht="15" hidden="false" customHeight="false" outlineLevel="0" collapsed="false">
      <c r="A75" s="12" t="n">
        <v>45426</v>
      </c>
      <c r="B75" s="5" t="s">
        <v>73</v>
      </c>
      <c r="C75" s="5" t="s">
        <v>151</v>
      </c>
      <c r="D75" s="5" t="n">
        <f aca="false">COUNTIFS('Pickup log'!$K$2:$K$225,A75,'Pickup log'!$D$2:$D$225,B75,'Pickup log'!$G$2:$G$225,C75)</f>
        <v>2</v>
      </c>
      <c r="E75" s="5" t="n">
        <f aca="false">IF(D75=0,0,_xlfn.MAXIFS('Pickup log'!$H$2:$H$225,'Pickup log'!$K$2:$K$225,A75,'Pickup log'!$D$2:$D$225,B75,'Pickup log'!$G$2:$G$225,C75))</f>
        <v>9.5</v>
      </c>
      <c r="F75" s="5" t="n">
        <f aca="false">IF(D75=0,0,2*E75+Notes!$B$25*(D75-1))</f>
        <v>21</v>
      </c>
      <c r="G75" s="14" t="n">
        <f aca="false">IF(C75="Matador",F75/Notes!$B$21*Notes!$B$22,F75/Notes!$B$23*Notes!$B$24)</f>
        <v>112.783125</v>
      </c>
      <c r="H75" s="5" t="n">
        <f aca="false">COUNTIFS('Pickup log'!$K$2:$K$225,A75,'Pickup log'!$D$2:$D$225,B75,'Pickup log'!$G$2:$G$225,C75,'Pickup log'!$E$2:$E$225,"Economy")</f>
        <v>1</v>
      </c>
      <c r="I75" s="5" t="n">
        <f aca="false">IF(H75=0,0,_xlfn.MAXIFS('Pickup log'!$H$2:$H$225,'Pickup log'!$K$2:$K$225,A75,'Pickup log'!$D$2:$D$225,B75,'Pickup log'!$G$2:$G$225,C75,'Pickup log'!$E$2:$E$225,"Economy"))</f>
        <v>2.5</v>
      </c>
      <c r="J75" s="5" t="n">
        <f aca="false">IF(H75=0,0,2*I75+Notes!$B$25*(H75-1))</f>
        <v>5</v>
      </c>
      <c r="K75" s="14" t="n">
        <f aca="false">IF(C75="Matador",J75/Notes!$B$21*Notes!$B$22,J75/Notes!$B$23*Notes!$B$24)</f>
        <v>26.853125</v>
      </c>
    </row>
    <row r="76" customFormat="false" ht="15" hidden="false" customHeight="false" outlineLevel="0" collapsed="false">
      <c r="A76" s="12" t="n">
        <v>45426</v>
      </c>
      <c r="B76" s="5" t="s">
        <v>90</v>
      </c>
      <c r="C76" s="5" t="s">
        <v>150</v>
      </c>
      <c r="D76" s="5" t="n">
        <f aca="false">COUNTIFS('Pickup log'!$K$2:$K$225,A76,'Pickup log'!$D$2:$D$225,B76,'Pickup log'!$G$2:$G$225,C76)</f>
        <v>0</v>
      </c>
      <c r="E76" s="5" t="n">
        <f aca="false">IF(D76=0,0,_xlfn.MAXIFS('Pickup log'!$H$2:$H$225,'Pickup log'!$K$2:$K$225,A76,'Pickup log'!$D$2:$D$225,B76,'Pickup log'!$G$2:$G$225,C76))</f>
        <v>0</v>
      </c>
      <c r="F76" s="5" t="n">
        <f aca="false">IF(D76=0,0,2*E76+Notes!$B$25*(D76-1))</f>
        <v>0</v>
      </c>
      <c r="G76" s="14" t="n">
        <f aca="false">IF(C76="Matador",F76/Notes!$B$21*Notes!$B$22,F76/Notes!$B$23*Notes!$B$24)</f>
        <v>0</v>
      </c>
      <c r="H76" s="5" t="n">
        <f aca="false">COUNTIFS('Pickup log'!$K$2:$K$225,A76,'Pickup log'!$D$2:$D$225,B76,'Pickup log'!$G$2:$G$225,C76,'Pickup log'!$E$2:$E$225,"Economy")</f>
        <v>0</v>
      </c>
      <c r="I76" s="5" t="n">
        <f aca="false">IF(H76=0,0,_xlfn.MAXIFS('Pickup log'!$H$2:$H$225,'Pickup log'!$K$2:$K$225,A76,'Pickup log'!$D$2:$D$225,B76,'Pickup log'!$G$2:$G$225,C76,'Pickup log'!$E$2:$E$225,"Economy"))</f>
        <v>0</v>
      </c>
      <c r="J76" s="5" t="n">
        <f aca="false">IF(H76=0,0,2*I76+Notes!$B$25*(H76-1))</f>
        <v>0</v>
      </c>
      <c r="K76" s="14" t="n">
        <f aca="false">IF(C76="Matador",J76/Notes!$B$21*Notes!$B$22,J76/Notes!$B$23*Notes!$B$24)</f>
        <v>0</v>
      </c>
    </row>
    <row r="77" customFormat="false" ht="15" hidden="false" customHeight="false" outlineLevel="0" collapsed="false">
      <c r="A77" s="12" t="n">
        <v>45426</v>
      </c>
      <c r="B77" s="5" t="s">
        <v>90</v>
      </c>
      <c r="C77" s="5" t="s">
        <v>151</v>
      </c>
      <c r="D77" s="5" t="n">
        <f aca="false">COUNTIFS('Pickup log'!$K$2:$K$225,A77,'Pickup log'!$D$2:$D$225,B77,'Pickup log'!$G$2:$G$225,C77)</f>
        <v>0</v>
      </c>
      <c r="E77" s="5" t="n">
        <f aca="false">IF(D77=0,0,_xlfn.MAXIFS('Pickup log'!$H$2:$H$225,'Pickup log'!$K$2:$K$225,A77,'Pickup log'!$D$2:$D$225,B77,'Pickup log'!$G$2:$G$225,C77))</f>
        <v>0</v>
      </c>
      <c r="F77" s="5" t="n">
        <f aca="false">IF(D77=0,0,2*E77+Notes!$B$25*(D77-1))</f>
        <v>0</v>
      </c>
      <c r="G77" s="14" t="n">
        <f aca="false">IF(C77="Matador",F77/Notes!$B$21*Notes!$B$22,F77/Notes!$B$23*Notes!$B$24)</f>
        <v>0</v>
      </c>
      <c r="H77" s="5" t="n">
        <f aca="false">COUNTIFS('Pickup log'!$K$2:$K$225,A77,'Pickup log'!$D$2:$D$225,B77,'Pickup log'!$G$2:$G$225,C77,'Pickup log'!$E$2:$E$225,"Economy")</f>
        <v>0</v>
      </c>
      <c r="I77" s="5" t="n">
        <f aca="false">IF(H77=0,0,_xlfn.MAXIFS('Pickup log'!$H$2:$H$225,'Pickup log'!$K$2:$K$225,A77,'Pickup log'!$D$2:$D$225,B77,'Pickup log'!$G$2:$G$225,C77,'Pickup log'!$E$2:$E$225,"Economy"))</f>
        <v>0</v>
      </c>
      <c r="J77" s="5" t="n">
        <f aca="false">IF(H77=0,0,2*I77+Notes!$B$25*(H77-1))</f>
        <v>0</v>
      </c>
      <c r="K77" s="14" t="n">
        <f aca="false">IF(C77="Matador",J77/Notes!$B$21*Notes!$B$22,J77/Notes!$B$23*Notes!$B$24)</f>
        <v>0</v>
      </c>
    </row>
    <row r="78" customFormat="false" ht="15" hidden="false" customHeight="false" outlineLevel="0" collapsed="false">
      <c r="A78" s="12" t="n">
        <v>45426</v>
      </c>
      <c r="B78" s="5" t="s">
        <v>101</v>
      </c>
      <c r="C78" s="5" t="s">
        <v>150</v>
      </c>
      <c r="D78" s="5" t="n">
        <f aca="false">COUNTIFS('Pickup log'!$K$2:$K$225,A78,'Pickup log'!$D$2:$D$225,B78,'Pickup log'!$G$2:$G$225,C78)</f>
        <v>0</v>
      </c>
      <c r="E78" s="5" t="n">
        <f aca="false">IF(D78=0,0,_xlfn.MAXIFS('Pickup log'!$H$2:$H$225,'Pickup log'!$K$2:$K$225,A78,'Pickup log'!$D$2:$D$225,B78,'Pickup log'!$G$2:$G$225,C78))</f>
        <v>0</v>
      </c>
      <c r="F78" s="5" t="n">
        <f aca="false">IF(D78=0,0,2*E78+Notes!$B$25*(D78-1))</f>
        <v>0</v>
      </c>
      <c r="G78" s="14" t="n">
        <f aca="false">IF(C78="Matador",F78/Notes!$B$21*Notes!$B$22,F78/Notes!$B$23*Notes!$B$24)</f>
        <v>0</v>
      </c>
      <c r="H78" s="5" t="n">
        <f aca="false">COUNTIFS('Pickup log'!$K$2:$K$225,A78,'Pickup log'!$D$2:$D$225,B78,'Pickup log'!$G$2:$G$225,C78,'Pickup log'!$E$2:$E$225,"Economy")</f>
        <v>0</v>
      </c>
      <c r="I78" s="5" t="n">
        <f aca="false">IF(H78=0,0,_xlfn.MAXIFS('Pickup log'!$H$2:$H$225,'Pickup log'!$K$2:$K$225,A78,'Pickup log'!$D$2:$D$225,B78,'Pickup log'!$G$2:$G$225,C78,'Pickup log'!$E$2:$E$225,"Economy"))</f>
        <v>0</v>
      </c>
      <c r="J78" s="5" t="n">
        <f aca="false">IF(H78=0,0,2*I78+Notes!$B$25*(H78-1))</f>
        <v>0</v>
      </c>
      <c r="K78" s="14" t="n">
        <f aca="false">IF(C78="Matador",J78/Notes!$B$21*Notes!$B$22,J78/Notes!$B$23*Notes!$B$24)</f>
        <v>0</v>
      </c>
    </row>
    <row r="79" customFormat="false" ht="15" hidden="false" customHeight="false" outlineLevel="0" collapsed="false">
      <c r="A79" s="12" t="n">
        <v>45426</v>
      </c>
      <c r="B79" s="5" t="s">
        <v>101</v>
      </c>
      <c r="C79" s="5" t="s">
        <v>151</v>
      </c>
      <c r="D79" s="5" t="n">
        <f aca="false">COUNTIFS('Pickup log'!$K$2:$K$225,A79,'Pickup log'!$D$2:$D$225,B79,'Pickup log'!$G$2:$G$225,C79)</f>
        <v>0</v>
      </c>
      <c r="E79" s="5" t="n">
        <f aca="false">IF(D79=0,0,_xlfn.MAXIFS('Pickup log'!$H$2:$H$225,'Pickup log'!$K$2:$K$225,A79,'Pickup log'!$D$2:$D$225,B79,'Pickup log'!$G$2:$G$225,C79))</f>
        <v>0</v>
      </c>
      <c r="F79" s="5" t="n">
        <f aca="false">IF(D79=0,0,2*E79+Notes!$B$25*(D79-1))</f>
        <v>0</v>
      </c>
      <c r="G79" s="14" t="n">
        <f aca="false">IF(C79="Matador",F79/Notes!$B$21*Notes!$B$22,F79/Notes!$B$23*Notes!$B$24)</f>
        <v>0</v>
      </c>
      <c r="H79" s="5" t="n">
        <f aca="false">COUNTIFS('Pickup log'!$K$2:$K$225,A79,'Pickup log'!$D$2:$D$225,B79,'Pickup log'!$G$2:$G$225,C79,'Pickup log'!$E$2:$E$225,"Economy")</f>
        <v>0</v>
      </c>
      <c r="I79" s="5" t="n">
        <f aca="false">IF(H79=0,0,_xlfn.MAXIFS('Pickup log'!$H$2:$H$225,'Pickup log'!$K$2:$K$225,A79,'Pickup log'!$D$2:$D$225,B79,'Pickup log'!$G$2:$G$225,C79,'Pickup log'!$E$2:$E$225,"Economy"))</f>
        <v>0</v>
      </c>
      <c r="J79" s="5" t="n">
        <f aca="false">IF(H79=0,0,2*I79+Notes!$B$25*(H79-1))</f>
        <v>0</v>
      </c>
      <c r="K79" s="14" t="n">
        <f aca="false">IF(C79="Matador",J79/Notes!$B$21*Notes!$B$22,J79/Notes!$B$23*Notes!$B$24)</f>
        <v>0</v>
      </c>
    </row>
    <row r="80" customFormat="false" ht="15" hidden="false" customHeight="false" outlineLevel="0" collapsed="false">
      <c r="A80" s="12" t="n">
        <v>45426</v>
      </c>
      <c r="B80" s="5" t="s">
        <v>114</v>
      </c>
      <c r="C80" s="5" t="s">
        <v>150</v>
      </c>
      <c r="D80" s="5" t="n">
        <f aca="false">COUNTIFS('Pickup log'!$K$2:$K$225,A80,'Pickup log'!$D$2:$D$225,B80,'Pickup log'!$G$2:$G$225,C80)</f>
        <v>0</v>
      </c>
      <c r="E80" s="5" t="n">
        <f aca="false">IF(D80=0,0,_xlfn.MAXIFS('Pickup log'!$H$2:$H$225,'Pickup log'!$K$2:$K$225,A80,'Pickup log'!$D$2:$D$225,B80,'Pickup log'!$G$2:$G$225,C80))</f>
        <v>0</v>
      </c>
      <c r="F80" s="5" t="n">
        <f aca="false">IF(D80=0,0,2*E80+Notes!$B$25*(D80-1))</f>
        <v>0</v>
      </c>
      <c r="G80" s="14" t="n">
        <f aca="false">IF(C80="Matador",F80/Notes!$B$21*Notes!$B$22,F80/Notes!$B$23*Notes!$B$24)</f>
        <v>0</v>
      </c>
      <c r="H80" s="5" t="n">
        <f aca="false">COUNTIFS('Pickup log'!$K$2:$K$225,A80,'Pickup log'!$D$2:$D$225,B80,'Pickup log'!$G$2:$G$225,C80,'Pickup log'!$E$2:$E$225,"Economy")</f>
        <v>0</v>
      </c>
      <c r="I80" s="5" t="n">
        <f aca="false">IF(H80=0,0,_xlfn.MAXIFS('Pickup log'!$H$2:$H$225,'Pickup log'!$K$2:$K$225,A80,'Pickup log'!$D$2:$D$225,B80,'Pickup log'!$G$2:$G$225,C80,'Pickup log'!$E$2:$E$225,"Economy"))</f>
        <v>0</v>
      </c>
      <c r="J80" s="5" t="n">
        <f aca="false">IF(H80=0,0,2*I80+Notes!$B$25*(H80-1))</f>
        <v>0</v>
      </c>
      <c r="K80" s="14" t="n">
        <f aca="false">IF(C80="Matador",J80/Notes!$B$21*Notes!$B$22,J80/Notes!$B$23*Notes!$B$24)</f>
        <v>0</v>
      </c>
    </row>
    <row r="81" customFormat="false" ht="15" hidden="false" customHeight="false" outlineLevel="0" collapsed="false">
      <c r="A81" s="12" t="n">
        <v>45426</v>
      </c>
      <c r="B81" s="5" t="s">
        <v>114</v>
      </c>
      <c r="C81" s="5" t="s">
        <v>151</v>
      </c>
      <c r="D81" s="5" t="n">
        <f aca="false">COUNTIFS('Pickup log'!$K$2:$K$225,A81,'Pickup log'!$D$2:$D$225,B81,'Pickup log'!$G$2:$G$225,C81)</f>
        <v>0</v>
      </c>
      <c r="E81" s="5" t="n">
        <f aca="false">IF(D81=0,0,_xlfn.MAXIFS('Pickup log'!$H$2:$H$225,'Pickup log'!$K$2:$K$225,A81,'Pickup log'!$D$2:$D$225,B81,'Pickup log'!$G$2:$G$225,C81))</f>
        <v>0</v>
      </c>
      <c r="F81" s="5" t="n">
        <f aca="false">IF(D81=0,0,2*E81+Notes!$B$25*(D81-1))</f>
        <v>0</v>
      </c>
      <c r="G81" s="14" t="n">
        <f aca="false">IF(C81="Matador",F81/Notes!$B$21*Notes!$B$22,F81/Notes!$B$23*Notes!$B$24)</f>
        <v>0</v>
      </c>
      <c r="H81" s="5" t="n">
        <f aca="false">COUNTIFS('Pickup log'!$K$2:$K$225,A81,'Pickup log'!$D$2:$D$225,B81,'Pickup log'!$G$2:$G$225,C81,'Pickup log'!$E$2:$E$225,"Economy")</f>
        <v>0</v>
      </c>
      <c r="I81" s="5" t="n">
        <f aca="false">IF(H81=0,0,_xlfn.MAXIFS('Pickup log'!$H$2:$H$225,'Pickup log'!$K$2:$K$225,A81,'Pickup log'!$D$2:$D$225,B81,'Pickup log'!$G$2:$G$225,C81,'Pickup log'!$E$2:$E$225,"Economy"))</f>
        <v>0</v>
      </c>
      <c r="J81" s="5" t="n">
        <f aca="false">IF(H81=0,0,2*I81+Notes!$B$25*(H81-1))</f>
        <v>0</v>
      </c>
      <c r="K81" s="14" t="n">
        <f aca="false">IF(C81="Matador",J81/Notes!$B$21*Notes!$B$22,J81/Notes!$B$23*Notes!$B$24)</f>
        <v>0</v>
      </c>
    </row>
    <row r="82" customFormat="false" ht="15" hidden="false" customHeight="false" outlineLevel="0" collapsed="false">
      <c r="A82" s="12" t="n">
        <v>45427</v>
      </c>
      <c r="B82" s="5" t="s">
        <v>56</v>
      </c>
      <c r="C82" s="5" t="s">
        <v>150</v>
      </c>
      <c r="D82" s="5" t="n">
        <f aca="false">COUNTIFS('Pickup log'!$K$2:$K$225,A82,'Pickup log'!$D$2:$D$225,B82,'Pickup log'!$G$2:$G$225,C82)</f>
        <v>2</v>
      </c>
      <c r="E82" s="5" t="n">
        <f aca="false">IF(D82=0,0,_xlfn.MAXIFS('Pickup log'!$H$2:$H$225,'Pickup log'!$K$2:$K$225,A82,'Pickup log'!$D$2:$D$225,B82,'Pickup log'!$G$2:$G$225,C82))</f>
        <v>3.5</v>
      </c>
      <c r="F82" s="5" t="n">
        <f aca="false">IF(D82=0,0,2*E82+Notes!$B$25*(D82-1))</f>
        <v>9</v>
      </c>
      <c r="G82" s="14" t="n">
        <f aca="false">IF(C82="Matador",F82/Notes!$B$21*Notes!$B$22,F82/Notes!$B$23*Notes!$B$24)</f>
        <v>19.968</v>
      </c>
      <c r="H82" s="5" t="n">
        <f aca="false">COUNTIFS('Pickup log'!$K$2:$K$225,A82,'Pickup log'!$D$2:$D$225,B82,'Pickup log'!$G$2:$G$225,C82,'Pickup log'!$E$2:$E$225,"Economy")</f>
        <v>1</v>
      </c>
      <c r="I82" s="5" t="n">
        <f aca="false">IF(H82=0,0,_xlfn.MAXIFS('Pickup log'!$H$2:$H$225,'Pickup log'!$K$2:$K$225,A82,'Pickup log'!$D$2:$D$225,B82,'Pickup log'!$G$2:$G$225,C82,'Pickup log'!$E$2:$E$225,"Economy"))</f>
        <v>3.5</v>
      </c>
      <c r="J82" s="5" t="n">
        <f aca="false">IF(H82=0,0,2*I82+Notes!$B$25*(H82-1))</f>
        <v>7</v>
      </c>
      <c r="K82" s="14" t="n">
        <f aca="false">IF(C82="Matador",J82/Notes!$B$21*Notes!$B$22,J82/Notes!$B$23*Notes!$B$24)</f>
        <v>15.5306666666667</v>
      </c>
    </row>
    <row r="83" customFormat="false" ht="15" hidden="false" customHeight="false" outlineLevel="0" collapsed="false">
      <c r="A83" s="12" t="n">
        <v>45427</v>
      </c>
      <c r="B83" s="5" t="s">
        <v>56</v>
      </c>
      <c r="C83" s="5" t="s">
        <v>151</v>
      </c>
      <c r="D83" s="5" t="n">
        <f aca="false">COUNTIFS('Pickup log'!$K$2:$K$225,A83,'Pickup log'!$D$2:$D$225,B83,'Pickup log'!$G$2:$G$225,C83)</f>
        <v>2</v>
      </c>
      <c r="E83" s="5" t="n">
        <f aca="false">IF(D83=0,0,_xlfn.MAXIFS('Pickup log'!$H$2:$H$225,'Pickup log'!$K$2:$K$225,A83,'Pickup log'!$D$2:$D$225,B83,'Pickup log'!$G$2:$G$225,C83))</f>
        <v>2</v>
      </c>
      <c r="F83" s="5" t="n">
        <f aca="false">IF(D83=0,0,2*E83+Notes!$B$25*(D83-1))</f>
        <v>6</v>
      </c>
      <c r="G83" s="14" t="n">
        <f aca="false">IF(C83="Matador",F83/Notes!$B$21*Notes!$B$22,F83/Notes!$B$23*Notes!$B$24)</f>
        <v>32.22375</v>
      </c>
      <c r="H83" s="5" t="n">
        <f aca="false">COUNTIFS('Pickup log'!$K$2:$K$225,A83,'Pickup log'!$D$2:$D$225,B83,'Pickup log'!$G$2:$G$225,C83,'Pickup log'!$E$2:$E$225,"Economy")</f>
        <v>1</v>
      </c>
      <c r="I83" s="5" t="n">
        <f aca="false">IF(H83=0,0,_xlfn.MAXIFS('Pickup log'!$H$2:$H$225,'Pickup log'!$K$2:$K$225,A83,'Pickup log'!$D$2:$D$225,B83,'Pickup log'!$G$2:$G$225,C83,'Pickup log'!$E$2:$E$225,"Economy"))</f>
        <v>2</v>
      </c>
      <c r="J83" s="5" t="n">
        <f aca="false">IF(H83=0,0,2*I83+Notes!$B$25*(H83-1))</f>
        <v>4</v>
      </c>
      <c r="K83" s="14" t="n">
        <f aca="false">IF(C83="Matador",J83/Notes!$B$21*Notes!$B$22,J83/Notes!$B$23*Notes!$B$24)</f>
        <v>21.4825</v>
      </c>
    </row>
    <row r="84" customFormat="false" ht="15" hidden="false" customHeight="false" outlineLevel="0" collapsed="false">
      <c r="A84" s="12" t="n">
        <v>45427</v>
      </c>
      <c r="B84" s="5" t="s">
        <v>73</v>
      </c>
      <c r="C84" s="5" t="s">
        <v>150</v>
      </c>
      <c r="D84" s="5" t="n">
        <f aca="false">COUNTIFS('Pickup log'!$K$2:$K$225,A84,'Pickup log'!$D$2:$D$225,B84,'Pickup log'!$G$2:$G$225,C84)</f>
        <v>0</v>
      </c>
      <c r="E84" s="5" t="n">
        <f aca="false">IF(D84=0,0,_xlfn.MAXIFS('Pickup log'!$H$2:$H$225,'Pickup log'!$K$2:$K$225,A84,'Pickup log'!$D$2:$D$225,B84,'Pickup log'!$G$2:$G$225,C84))</f>
        <v>0</v>
      </c>
      <c r="F84" s="5" t="n">
        <f aca="false">IF(D84=0,0,2*E84+Notes!$B$25*(D84-1))</f>
        <v>0</v>
      </c>
      <c r="G84" s="14" t="n">
        <f aca="false">IF(C84="Matador",F84/Notes!$B$21*Notes!$B$22,F84/Notes!$B$23*Notes!$B$24)</f>
        <v>0</v>
      </c>
      <c r="H84" s="5" t="n">
        <f aca="false">COUNTIFS('Pickup log'!$K$2:$K$225,A84,'Pickup log'!$D$2:$D$225,B84,'Pickup log'!$G$2:$G$225,C84,'Pickup log'!$E$2:$E$225,"Economy")</f>
        <v>0</v>
      </c>
      <c r="I84" s="5" t="n">
        <f aca="false">IF(H84=0,0,_xlfn.MAXIFS('Pickup log'!$H$2:$H$225,'Pickup log'!$K$2:$K$225,A84,'Pickup log'!$D$2:$D$225,B84,'Pickup log'!$G$2:$G$225,C84,'Pickup log'!$E$2:$E$225,"Economy"))</f>
        <v>0</v>
      </c>
      <c r="J84" s="5" t="n">
        <f aca="false">IF(H84=0,0,2*I84+Notes!$B$25*(H84-1))</f>
        <v>0</v>
      </c>
      <c r="K84" s="14" t="n">
        <f aca="false">IF(C84="Matador",J84/Notes!$B$21*Notes!$B$22,J84/Notes!$B$23*Notes!$B$24)</f>
        <v>0</v>
      </c>
    </row>
    <row r="85" customFormat="false" ht="15" hidden="false" customHeight="false" outlineLevel="0" collapsed="false">
      <c r="A85" s="12" t="n">
        <v>45427</v>
      </c>
      <c r="B85" s="5" t="s">
        <v>73</v>
      </c>
      <c r="C85" s="5" t="s">
        <v>151</v>
      </c>
      <c r="D85" s="5" t="n">
        <f aca="false">COUNTIFS('Pickup log'!$K$2:$K$225,A85,'Pickup log'!$D$2:$D$225,B85,'Pickup log'!$G$2:$G$225,C85)</f>
        <v>5</v>
      </c>
      <c r="E85" s="5" t="n">
        <f aca="false">IF(D85=0,0,_xlfn.MAXIFS('Pickup log'!$H$2:$H$225,'Pickup log'!$K$2:$K$225,A85,'Pickup log'!$D$2:$D$225,B85,'Pickup log'!$G$2:$G$225,C85))</f>
        <v>9</v>
      </c>
      <c r="F85" s="5" t="n">
        <f aca="false">IF(D85=0,0,2*E85+Notes!$B$25*(D85-1))</f>
        <v>26</v>
      </c>
      <c r="G85" s="14" t="n">
        <f aca="false">IF(C85="Matador",F85/Notes!$B$21*Notes!$B$22,F85/Notes!$B$23*Notes!$B$24)</f>
        <v>139.63625</v>
      </c>
      <c r="H85" s="5" t="n">
        <f aca="false">COUNTIFS('Pickup log'!$K$2:$K$225,A85,'Pickup log'!$D$2:$D$225,B85,'Pickup log'!$G$2:$G$225,C85,'Pickup log'!$E$2:$E$225,"Economy")</f>
        <v>3</v>
      </c>
      <c r="I85" s="5" t="n">
        <f aca="false">IF(H85=0,0,_xlfn.MAXIFS('Pickup log'!$H$2:$H$225,'Pickup log'!$K$2:$K$225,A85,'Pickup log'!$D$2:$D$225,B85,'Pickup log'!$G$2:$G$225,C85,'Pickup log'!$E$2:$E$225,"Economy"))</f>
        <v>4.5</v>
      </c>
      <c r="J85" s="5" t="n">
        <f aca="false">IF(H85=0,0,2*I85+Notes!$B$25*(H85-1))</f>
        <v>13</v>
      </c>
      <c r="K85" s="14" t="n">
        <f aca="false">IF(C85="Matador",J85/Notes!$B$21*Notes!$B$22,J85/Notes!$B$23*Notes!$B$24)</f>
        <v>69.818125</v>
      </c>
    </row>
    <row r="86" customFormat="false" ht="15" hidden="false" customHeight="false" outlineLevel="0" collapsed="false">
      <c r="A86" s="12" t="n">
        <v>45427</v>
      </c>
      <c r="B86" s="5" t="s">
        <v>90</v>
      </c>
      <c r="C86" s="5" t="s">
        <v>150</v>
      </c>
      <c r="D86" s="5" t="n">
        <f aca="false">COUNTIFS('Pickup log'!$K$2:$K$225,A86,'Pickup log'!$D$2:$D$225,B86,'Pickup log'!$G$2:$G$225,C86)</f>
        <v>0</v>
      </c>
      <c r="E86" s="5" t="n">
        <f aca="false">IF(D86=0,0,_xlfn.MAXIFS('Pickup log'!$H$2:$H$225,'Pickup log'!$K$2:$K$225,A86,'Pickup log'!$D$2:$D$225,B86,'Pickup log'!$G$2:$G$225,C86))</f>
        <v>0</v>
      </c>
      <c r="F86" s="5" t="n">
        <f aca="false">IF(D86=0,0,2*E86+Notes!$B$25*(D86-1))</f>
        <v>0</v>
      </c>
      <c r="G86" s="14" t="n">
        <f aca="false">IF(C86="Matador",F86/Notes!$B$21*Notes!$B$22,F86/Notes!$B$23*Notes!$B$24)</f>
        <v>0</v>
      </c>
      <c r="H86" s="5" t="n">
        <f aca="false">COUNTIFS('Pickup log'!$K$2:$K$225,A86,'Pickup log'!$D$2:$D$225,B86,'Pickup log'!$G$2:$G$225,C86,'Pickup log'!$E$2:$E$225,"Economy")</f>
        <v>0</v>
      </c>
      <c r="I86" s="5" t="n">
        <f aca="false">IF(H86=0,0,_xlfn.MAXIFS('Pickup log'!$H$2:$H$225,'Pickup log'!$K$2:$K$225,A86,'Pickup log'!$D$2:$D$225,B86,'Pickup log'!$G$2:$G$225,C86,'Pickup log'!$E$2:$E$225,"Economy"))</f>
        <v>0</v>
      </c>
      <c r="J86" s="5" t="n">
        <f aca="false">IF(H86=0,0,2*I86+Notes!$B$25*(H86-1))</f>
        <v>0</v>
      </c>
      <c r="K86" s="14" t="n">
        <f aca="false">IF(C86="Matador",J86/Notes!$B$21*Notes!$B$22,J86/Notes!$B$23*Notes!$B$24)</f>
        <v>0</v>
      </c>
    </row>
    <row r="87" customFormat="false" ht="15" hidden="false" customHeight="false" outlineLevel="0" collapsed="false">
      <c r="A87" s="12" t="n">
        <v>45427</v>
      </c>
      <c r="B87" s="5" t="s">
        <v>90</v>
      </c>
      <c r="C87" s="5" t="s">
        <v>151</v>
      </c>
      <c r="D87" s="5" t="n">
        <f aca="false">COUNTIFS('Pickup log'!$K$2:$K$225,A87,'Pickup log'!$D$2:$D$225,B87,'Pickup log'!$G$2:$G$225,C87)</f>
        <v>0</v>
      </c>
      <c r="E87" s="5" t="n">
        <f aca="false">IF(D87=0,0,_xlfn.MAXIFS('Pickup log'!$H$2:$H$225,'Pickup log'!$K$2:$K$225,A87,'Pickup log'!$D$2:$D$225,B87,'Pickup log'!$G$2:$G$225,C87))</f>
        <v>0</v>
      </c>
      <c r="F87" s="5" t="n">
        <f aca="false">IF(D87=0,0,2*E87+Notes!$B$25*(D87-1))</f>
        <v>0</v>
      </c>
      <c r="G87" s="14" t="n">
        <f aca="false">IF(C87="Matador",F87/Notes!$B$21*Notes!$B$22,F87/Notes!$B$23*Notes!$B$24)</f>
        <v>0</v>
      </c>
      <c r="H87" s="5" t="n">
        <f aca="false">COUNTIFS('Pickup log'!$K$2:$K$225,A87,'Pickup log'!$D$2:$D$225,B87,'Pickup log'!$G$2:$G$225,C87,'Pickup log'!$E$2:$E$225,"Economy")</f>
        <v>0</v>
      </c>
      <c r="I87" s="5" t="n">
        <f aca="false">IF(H87=0,0,_xlfn.MAXIFS('Pickup log'!$H$2:$H$225,'Pickup log'!$K$2:$K$225,A87,'Pickup log'!$D$2:$D$225,B87,'Pickup log'!$G$2:$G$225,C87,'Pickup log'!$E$2:$E$225,"Economy"))</f>
        <v>0</v>
      </c>
      <c r="J87" s="5" t="n">
        <f aca="false">IF(H87=0,0,2*I87+Notes!$B$25*(H87-1))</f>
        <v>0</v>
      </c>
      <c r="K87" s="14" t="n">
        <f aca="false">IF(C87="Matador",J87/Notes!$B$21*Notes!$B$22,J87/Notes!$B$23*Notes!$B$24)</f>
        <v>0</v>
      </c>
    </row>
    <row r="88" customFormat="false" ht="15" hidden="false" customHeight="false" outlineLevel="0" collapsed="false">
      <c r="A88" s="12" t="n">
        <v>45427</v>
      </c>
      <c r="B88" s="5" t="s">
        <v>101</v>
      </c>
      <c r="C88" s="5" t="s">
        <v>150</v>
      </c>
      <c r="D88" s="5" t="n">
        <f aca="false">COUNTIFS('Pickup log'!$K$2:$K$225,A88,'Pickup log'!$D$2:$D$225,B88,'Pickup log'!$G$2:$G$225,C88)</f>
        <v>0</v>
      </c>
      <c r="E88" s="5" t="n">
        <f aca="false">IF(D88=0,0,_xlfn.MAXIFS('Pickup log'!$H$2:$H$225,'Pickup log'!$K$2:$K$225,A88,'Pickup log'!$D$2:$D$225,B88,'Pickup log'!$G$2:$G$225,C88))</f>
        <v>0</v>
      </c>
      <c r="F88" s="5" t="n">
        <f aca="false">IF(D88=0,0,2*E88+Notes!$B$25*(D88-1))</f>
        <v>0</v>
      </c>
      <c r="G88" s="14" t="n">
        <f aca="false">IF(C88="Matador",F88/Notes!$B$21*Notes!$B$22,F88/Notes!$B$23*Notes!$B$24)</f>
        <v>0</v>
      </c>
      <c r="H88" s="5" t="n">
        <f aca="false">COUNTIFS('Pickup log'!$K$2:$K$225,A88,'Pickup log'!$D$2:$D$225,B88,'Pickup log'!$G$2:$G$225,C88,'Pickup log'!$E$2:$E$225,"Economy")</f>
        <v>0</v>
      </c>
      <c r="I88" s="5" t="n">
        <f aca="false">IF(H88=0,0,_xlfn.MAXIFS('Pickup log'!$H$2:$H$225,'Pickup log'!$K$2:$K$225,A88,'Pickup log'!$D$2:$D$225,B88,'Pickup log'!$G$2:$G$225,C88,'Pickup log'!$E$2:$E$225,"Economy"))</f>
        <v>0</v>
      </c>
      <c r="J88" s="5" t="n">
        <f aca="false">IF(H88=0,0,2*I88+Notes!$B$25*(H88-1))</f>
        <v>0</v>
      </c>
      <c r="K88" s="14" t="n">
        <f aca="false">IF(C88="Matador",J88/Notes!$B$21*Notes!$B$22,J88/Notes!$B$23*Notes!$B$24)</f>
        <v>0</v>
      </c>
    </row>
    <row r="89" customFormat="false" ht="15" hidden="false" customHeight="false" outlineLevel="0" collapsed="false">
      <c r="A89" s="12" t="n">
        <v>45427</v>
      </c>
      <c r="B89" s="5" t="s">
        <v>101</v>
      </c>
      <c r="C89" s="5" t="s">
        <v>151</v>
      </c>
      <c r="D89" s="5" t="n">
        <f aca="false">COUNTIFS('Pickup log'!$K$2:$K$225,A89,'Pickup log'!$D$2:$D$225,B89,'Pickup log'!$G$2:$G$225,C89)</f>
        <v>0</v>
      </c>
      <c r="E89" s="5" t="n">
        <f aca="false">IF(D89=0,0,_xlfn.MAXIFS('Pickup log'!$H$2:$H$225,'Pickup log'!$K$2:$K$225,A89,'Pickup log'!$D$2:$D$225,B89,'Pickup log'!$G$2:$G$225,C89))</f>
        <v>0</v>
      </c>
      <c r="F89" s="5" t="n">
        <f aca="false">IF(D89=0,0,2*E89+Notes!$B$25*(D89-1))</f>
        <v>0</v>
      </c>
      <c r="G89" s="14" t="n">
        <f aca="false">IF(C89="Matador",F89/Notes!$B$21*Notes!$B$22,F89/Notes!$B$23*Notes!$B$24)</f>
        <v>0</v>
      </c>
      <c r="H89" s="5" t="n">
        <f aca="false">COUNTIFS('Pickup log'!$K$2:$K$225,A89,'Pickup log'!$D$2:$D$225,B89,'Pickup log'!$G$2:$G$225,C89,'Pickup log'!$E$2:$E$225,"Economy")</f>
        <v>0</v>
      </c>
      <c r="I89" s="5" t="n">
        <f aca="false">IF(H89=0,0,_xlfn.MAXIFS('Pickup log'!$H$2:$H$225,'Pickup log'!$K$2:$K$225,A89,'Pickup log'!$D$2:$D$225,B89,'Pickup log'!$G$2:$G$225,C89,'Pickup log'!$E$2:$E$225,"Economy"))</f>
        <v>0</v>
      </c>
      <c r="J89" s="5" t="n">
        <f aca="false">IF(H89=0,0,2*I89+Notes!$B$25*(H89-1))</f>
        <v>0</v>
      </c>
      <c r="K89" s="14" t="n">
        <f aca="false">IF(C89="Matador",J89/Notes!$B$21*Notes!$B$22,J89/Notes!$B$23*Notes!$B$24)</f>
        <v>0</v>
      </c>
    </row>
    <row r="90" customFormat="false" ht="15" hidden="false" customHeight="false" outlineLevel="0" collapsed="false">
      <c r="A90" s="12" t="n">
        <v>45427</v>
      </c>
      <c r="B90" s="5" t="s">
        <v>114</v>
      </c>
      <c r="C90" s="5" t="s">
        <v>150</v>
      </c>
      <c r="D90" s="5" t="n">
        <f aca="false">COUNTIFS('Pickup log'!$K$2:$K$225,A90,'Pickup log'!$D$2:$D$225,B90,'Pickup log'!$G$2:$G$225,C90)</f>
        <v>0</v>
      </c>
      <c r="E90" s="5" t="n">
        <f aca="false">IF(D90=0,0,_xlfn.MAXIFS('Pickup log'!$H$2:$H$225,'Pickup log'!$K$2:$K$225,A90,'Pickup log'!$D$2:$D$225,B90,'Pickup log'!$G$2:$G$225,C90))</f>
        <v>0</v>
      </c>
      <c r="F90" s="5" t="n">
        <f aca="false">IF(D90=0,0,2*E90+Notes!$B$25*(D90-1))</f>
        <v>0</v>
      </c>
      <c r="G90" s="14" t="n">
        <f aca="false">IF(C90="Matador",F90/Notes!$B$21*Notes!$B$22,F90/Notes!$B$23*Notes!$B$24)</f>
        <v>0</v>
      </c>
      <c r="H90" s="5" t="n">
        <f aca="false">COUNTIFS('Pickup log'!$K$2:$K$225,A90,'Pickup log'!$D$2:$D$225,B90,'Pickup log'!$G$2:$G$225,C90,'Pickup log'!$E$2:$E$225,"Economy")</f>
        <v>0</v>
      </c>
      <c r="I90" s="5" t="n">
        <f aca="false">IF(H90=0,0,_xlfn.MAXIFS('Pickup log'!$H$2:$H$225,'Pickup log'!$K$2:$K$225,A90,'Pickup log'!$D$2:$D$225,B90,'Pickup log'!$G$2:$G$225,C90,'Pickup log'!$E$2:$E$225,"Economy"))</f>
        <v>0</v>
      </c>
      <c r="J90" s="5" t="n">
        <f aca="false">IF(H90=0,0,2*I90+Notes!$B$25*(H90-1))</f>
        <v>0</v>
      </c>
      <c r="K90" s="14" t="n">
        <f aca="false">IF(C90="Matador",J90/Notes!$B$21*Notes!$B$22,J90/Notes!$B$23*Notes!$B$24)</f>
        <v>0</v>
      </c>
    </row>
    <row r="91" customFormat="false" ht="15" hidden="false" customHeight="false" outlineLevel="0" collapsed="false">
      <c r="A91" s="12" t="n">
        <v>45427</v>
      </c>
      <c r="B91" s="5" t="s">
        <v>114</v>
      </c>
      <c r="C91" s="5" t="s">
        <v>151</v>
      </c>
      <c r="D91" s="5" t="n">
        <f aca="false">COUNTIFS('Pickup log'!$K$2:$K$225,A91,'Pickup log'!$D$2:$D$225,B91,'Pickup log'!$G$2:$G$225,C91)</f>
        <v>0</v>
      </c>
      <c r="E91" s="5" t="n">
        <f aca="false">IF(D91=0,0,_xlfn.MAXIFS('Pickup log'!$H$2:$H$225,'Pickup log'!$K$2:$K$225,A91,'Pickup log'!$D$2:$D$225,B91,'Pickup log'!$G$2:$G$225,C91))</f>
        <v>0</v>
      </c>
      <c r="F91" s="5" t="n">
        <f aca="false">IF(D91=0,0,2*E91+Notes!$B$25*(D91-1))</f>
        <v>0</v>
      </c>
      <c r="G91" s="14" t="n">
        <f aca="false">IF(C91="Matador",F91/Notes!$B$21*Notes!$B$22,F91/Notes!$B$23*Notes!$B$24)</f>
        <v>0</v>
      </c>
      <c r="H91" s="5" t="n">
        <f aca="false">COUNTIFS('Pickup log'!$K$2:$K$225,A91,'Pickup log'!$D$2:$D$225,B91,'Pickup log'!$G$2:$G$225,C91,'Pickup log'!$E$2:$E$225,"Economy")</f>
        <v>0</v>
      </c>
      <c r="I91" s="5" t="n">
        <f aca="false">IF(H91=0,0,_xlfn.MAXIFS('Pickup log'!$H$2:$H$225,'Pickup log'!$K$2:$K$225,A91,'Pickup log'!$D$2:$D$225,B91,'Pickup log'!$G$2:$G$225,C91,'Pickup log'!$E$2:$E$225,"Economy"))</f>
        <v>0</v>
      </c>
      <c r="J91" s="5" t="n">
        <f aca="false">IF(H91=0,0,2*I91+Notes!$B$25*(H91-1))</f>
        <v>0</v>
      </c>
      <c r="K91" s="14" t="n">
        <f aca="false">IF(C91="Matador",J91/Notes!$B$21*Notes!$B$22,J91/Notes!$B$23*Notes!$B$24)</f>
        <v>0</v>
      </c>
    </row>
    <row r="92" customFormat="false" ht="15" hidden="false" customHeight="false" outlineLevel="0" collapsed="false">
      <c r="A92" s="12" t="n">
        <v>45428</v>
      </c>
      <c r="B92" s="5" t="s">
        <v>56</v>
      </c>
      <c r="C92" s="5" t="s">
        <v>150</v>
      </c>
      <c r="D92" s="5" t="n">
        <f aca="false">COUNTIFS('Pickup log'!$K$2:$K$225,A92,'Pickup log'!$D$2:$D$225,B92,'Pickup log'!$G$2:$G$225,C92)</f>
        <v>6</v>
      </c>
      <c r="E92" s="5" t="n">
        <f aca="false">IF(D92=0,0,_xlfn.MAXIFS('Pickup log'!$H$2:$H$225,'Pickup log'!$K$2:$K$225,A92,'Pickup log'!$D$2:$D$225,B92,'Pickup log'!$G$2:$G$225,C92))</f>
        <v>6</v>
      </c>
      <c r="F92" s="5" t="n">
        <f aca="false">IF(D92=0,0,2*E92+Notes!$B$25*(D92-1))</f>
        <v>22</v>
      </c>
      <c r="G92" s="14" t="n">
        <f aca="false">IF(C92="Matador",F92/Notes!$B$21*Notes!$B$22,F92/Notes!$B$23*Notes!$B$24)</f>
        <v>48.8106666666667</v>
      </c>
      <c r="H92" s="5" t="n">
        <f aca="false">COUNTIFS('Pickup log'!$K$2:$K$225,A92,'Pickup log'!$D$2:$D$225,B92,'Pickup log'!$G$2:$G$225,C92,'Pickup log'!$E$2:$E$225,"Economy")</f>
        <v>1</v>
      </c>
      <c r="I92" s="5" t="n">
        <f aca="false">IF(H92=0,0,_xlfn.MAXIFS('Pickup log'!$H$2:$H$225,'Pickup log'!$K$2:$K$225,A92,'Pickup log'!$D$2:$D$225,B92,'Pickup log'!$G$2:$G$225,C92,'Pickup log'!$E$2:$E$225,"Economy"))</f>
        <v>6</v>
      </c>
      <c r="J92" s="5" t="n">
        <f aca="false">IF(H92=0,0,2*I92+Notes!$B$25*(H92-1))</f>
        <v>12</v>
      </c>
      <c r="K92" s="14" t="n">
        <f aca="false">IF(C92="Matador",J92/Notes!$B$21*Notes!$B$22,J92/Notes!$B$23*Notes!$B$24)</f>
        <v>26.624</v>
      </c>
    </row>
    <row r="93" customFormat="false" ht="15" hidden="false" customHeight="false" outlineLevel="0" collapsed="false">
      <c r="A93" s="12" t="n">
        <v>45428</v>
      </c>
      <c r="B93" s="5" t="s">
        <v>56</v>
      </c>
      <c r="C93" s="5" t="s">
        <v>151</v>
      </c>
      <c r="D93" s="5" t="n">
        <f aca="false">COUNTIFS('Pickup log'!$K$2:$K$225,A93,'Pickup log'!$D$2:$D$225,B93,'Pickup log'!$G$2:$G$225,C93)</f>
        <v>1</v>
      </c>
      <c r="E93" s="5" t="n">
        <f aca="false">IF(D93=0,0,_xlfn.MAXIFS('Pickup log'!$H$2:$H$225,'Pickup log'!$K$2:$K$225,A93,'Pickup log'!$D$2:$D$225,B93,'Pickup log'!$G$2:$G$225,C93))</f>
        <v>2</v>
      </c>
      <c r="F93" s="5" t="n">
        <f aca="false">IF(D93=0,0,2*E93+Notes!$B$25*(D93-1))</f>
        <v>4</v>
      </c>
      <c r="G93" s="14" t="n">
        <f aca="false">IF(C93="Matador",F93/Notes!$B$21*Notes!$B$22,F93/Notes!$B$23*Notes!$B$24)</f>
        <v>21.4825</v>
      </c>
      <c r="H93" s="5" t="n">
        <f aca="false">COUNTIFS('Pickup log'!$K$2:$K$225,A93,'Pickup log'!$D$2:$D$225,B93,'Pickup log'!$G$2:$G$225,C93,'Pickup log'!$E$2:$E$225,"Economy")</f>
        <v>0</v>
      </c>
      <c r="I93" s="5" t="n">
        <f aca="false">IF(H93=0,0,_xlfn.MAXIFS('Pickup log'!$H$2:$H$225,'Pickup log'!$K$2:$K$225,A93,'Pickup log'!$D$2:$D$225,B93,'Pickup log'!$G$2:$G$225,C93,'Pickup log'!$E$2:$E$225,"Economy"))</f>
        <v>0</v>
      </c>
      <c r="J93" s="5" t="n">
        <f aca="false">IF(H93=0,0,2*I93+Notes!$B$25*(H93-1))</f>
        <v>0</v>
      </c>
      <c r="K93" s="14" t="n">
        <f aca="false">IF(C93="Matador",J93/Notes!$B$21*Notes!$B$22,J93/Notes!$B$23*Notes!$B$24)</f>
        <v>0</v>
      </c>
    </row>
    <row r="94" customFormat="false" ht="15" hidden="false" customHeight="false" outlineLevel="0" collapsed="false">
      <c r="A94" s="12" t="n">
        <v>45428</v>
      </c>
      <c r="B94" s="5" t="s">
        <v>73</v>
      </c>
      <c r="C94" s="5" t="s">
        <v>150</v>
      </c>
      <c r="D94" s="5" t="n">
        <f aca="false">COUNTIFS('Pickup log'!$K$2:$K$225,A94,'Pickup log'!$D$2:$D$225,B94,'Pickup log'!$G$2:$G$225,C94)</f>
        <v>2</v>
      </c>
      <c r="E94" s="5" t="n">
        <f aca="false">IF(D94=0,0,_xlfn.MAXIFS('Pickup log'!$H$2:$H$225,'Pickup log'!$K$2:$K$225,A94,'Pickup log'!$D$2:$D$225,B94,'Pickup log'!$G$2:$G$225,C94))</f>
        <v>9</v>
      </c>
      <c r="F94" s="5" t="n">
        <f aca="false">IF(D94=0,0,2*E94+Notes!$B$25*(D94-1))</f>
        <v>20</v>
      </c>
      <c r="G94" s="14" t="n">
        <f aca="false">IF(C94="Matador",F94/Notes!$B$21*Notes!$B$22,F94/Notes!$B$23*Notes!$B$24)</f>
        <v>44.3733333333333</v>
      </c>
      <c r="H94" s="5" t="n">
        <f aca="false">COUNTIFS('Pickup log'!$K$2:$K$225,A94,'Pickup log'!$D$2:$D$225,B94,'Pickup log'!$G$2:$G$225,C94,'Pickup log'!$E$2:$E$225,"Economy")</f>
        <v>1</v>
      </c>
      <c r="I94" s="5" t="n">
        <f aca="false">IF(H94=0,0,_xlfn.MAXIFS('Pickup log'!$H$2:$H$225,'Pickup log'!$K$2:$K$225,A94,'Pickup log'!$D$2:$D$225,B94,'Pickup log'!$G$2:$G$225,C94,'Pickup log'!$E$2:$E$225,"Economy"))</f>
        <v>2.5</v>
      </c>
      <c r="J94" s="5" t="n">
        <f aca="false">IF(H94=0,0,2*I94+Notes!$B$25*(H94-1))</f>
        <v>5</v>
      </c>
      <c r="K94" s="14" t="n">
        <f aca="false">IF(C94="Matador",J94/Notes!$B$21*Notes!$B$22,J94/Notes!$B$23*Notes!$B$24)</f>
        <v>11.0933333333333</v>
      </c>
    </row>
    <row r="95" customFormat="false" ht="15" hidden="false" customHeight="false" outlineLevel="0" collapsed="false">
      <c r="A95" s="12" t="n">
        <v>45428</v>
      </c>
      <c r="B95" s="5" t="s">
        <v>73</v>
      </c>
      <c r="C95" s="5" t="s">
        <v>151</v>
      </c>
      <c r="D95" s="5" t="n">
        <f aca="false">COUNTIFS('Pickup log'!$K$2:$K$225,A95,'Pickup log'!$D$2:$D$225,B95,'Pickup log'!$G$2:$G$225,C95)</f>
        <v>1</v>
      </c>
      <c r="E95" s="5" t="n">
        <f aca="false">IF(D95=0,0,_xlfn.MAXIFS('Pickup log'!$H$2:$H$225,'Pickup log'!$K$2:$K$225,A95,'Pickup log'!$D$2:$D$225,B95,'Pickup log'!$G$2:$G$225,C95))</f>
        <v>7</v>
      </c>
      <c r="F95" s="5" t="n">
        <f aca="false">IF(D95=0,0,2*E95+Notes!$B$25*(D95-1))</f>
        <v>14</v>
      </c>
      <c r="G95" s="14" t="n">
        <f aca="false">IF(C95="Matador",F95/Notes!$B$21*Notes!$B$22,F95/Notes!$B$23*Notes!$B$24)</f>
        <v>75.18875</v>
      </c>
      <c r="H95" s="5" t="n">
        <f aca="false">COUNTIFS('Pickup log'!$K$2:$K$225,A95,'Pickup log'!$D$2:$D$225,B95,'Pickup log'!$G$2:$G$225,C95,'Pickup log'!$E$2:$E$225,"Economy")</f>
        <v>0</v>
      </c>
      <c r="I95" s="5" t="n">
        <f aca="false">IF(H95=0,0,_xlfn.MAXIFS('Pickup log'!$H$2:$H$225,'Pickup log'!$K$2:$K$225,A95,'Pickup log'!$D$2:$D$225,B95,'Pickup log'!$G$2:$G$225,C95,'Pickup log'!$E$2:$E$225,"Economy"))</f>
        <v>0</v>
      </c>
      <c r="J95" s="5" t="n">
        <f aca="false">IF(H95=0,0,2*I95+Notes!$B$25*(H95-1))</f>
        <v>0</v>
      </c>
      <c r="K95" s="14" t="n">
        <f aca="false">IF(C95="Matador",J95/Notes!$B$21*Notes!$B$22,J95/Notes!$B$23*Notes!$B$24)</f>
        <v>0</v>
      </c>
    </row>
    <row r="96" customFormat="false" ht="15" hidden="false" customHeight="false" outlineLevel="0" collapsed="false">
      <c r="A96" s="12" t="n">
        <v>45428</v>
      </c>
      <c r="B96" s="5" t="s">
        <v>90</v>
      </c>
      <c r="C96" s="5" t="s">
        <v>150</v>
      </c>
      <c r="D96" s="5" t="n">
        <f aca="false">COUNTIFS('Pickup log'!$K$2:$K$225,A96,'Pickup log'!$D$2:$D$225,B96,'Pickup log'!$G$2:$G$225,C96)</f>
        <v>1</v>
      </c>
      <c r="E96" s="5" t="n">
        <f aca="false">IF(D96=0,0,_xlfn.MAXIFS('Pickup log'!$H$2:$H$225,'Pickup log'!$K$2:$K$225,A96,'Pickup log'!$D$2:$D$225,B96,'Pickup log'!$G$2:$G$225,C96))</f>
        <v>9</v>
      </c>
      <c r="F96" s="5" t="n">
        <f aca="false">IF(D96=0,0,2*E96+Notes!$B$25*(D96-1))</f>
        <v>18</v>
      </c>
      <c r="G96" s="14" t="n">
        <f aca="false">IF(C96="Matador",F96/Notes!$B$21*Notes!$B$22,F96/Notes!$B$23*Notes!$B$24)</f>
        <v>39.936</v>
      </c>
      <c r="H96" s="5" t="n">
        <f aca="false">COUNTIFS('Pickup log'!$K$2:$K$225,A96,'Pickup log'!$D$2:$D$225,B96,'Pickup log'!$G$2:$G$225,C96,'Pickup log'!$E$2:$E$225,"Economy")</f>
        <v>0</v>
      </c>
      <c r="I96" s="5" t="n">
        <f aca="false">IF(H96=0,0,_xlfn.MAXIFS('Pickup log'!$H$2:$H$225,'Pickup log'!$K$2:$K$225,A96,'Pickup log'!$D$2:$D$225,B96,'Pickup log'!$G$2:$G$225,C96,'Pickup log'!$E$2:$E$225,"Economy"))</f>
        <v>0</v>
      </c>
      <c r="J96" s="5" t="n">
        <f aca="false">IF(H96=0,0,2*I96+Notes!$B$25*(H96-1))</f>
        <v>0</v>
      </c>
      <c r="K96" s="14" t="n">
        <f aca="false">IF(C96="Matador",J96/Notes!$B$21*Notes!$B$22,J96/Notes!$B$23*Notes!$B$24)</f>
        <v>0</v>
      </c>
    </row>
    <row r="97" customFormat="false" ht="15" hidden="false" customHeight="false" outlineLevel="0" collapsed="false">
      <c r="A97" s="12" t="n">
        <v>45428</v>
      </c>
      <c r="B97" s="5" t="s">
        <v>90</v>
      </c>
      <c r="C97" s="5" t="s">
        <v>151</v>
      </c>
      <c r="D97" s="5" t="n">
        <f aca="false">COUNTIFS('Pickup log'!$K$2:$K$225,A97,'Pickup log'!$D$2:$D$225,B97,'Pickup log'!$G$2:$G$225,C97)</f>
        <v>0</v>
      </c>
      <c r="E97" s="5" t="n">
        <f aca="false">IF(D97=0,0,_xlfn.MAXIFS('Pickup log'!$H$2:$H$225,'Pickup log'!$K$2:$K$225,A97,'Pickup log'!$D$2:$D$225,B97,'Pickup log'!$G$2:$G$225,C97))</f>
        <v>0</v>
      </c>
      <c r="F97" s="5" t="n">
        <f aca="false">IF(D97=0,0,2*E97+Notes!$B$25*(D97-1))</f>
        <v>0</v>
      </c>
      <c r="G97" s="14" t="n">
        <f aca="false">IF(C97="Matador",F97/Notes!$B$21*Notes!$B$22,F97/Notes!$B$23*Notes!$B$24)</f>
        <v>0</v>
      </c>
      <c r="H97" s="5" t="n">
        <f aca="false">COUNTIFS('Pickup log'!$K$2:$K$225,A97,'Pickup log'!$D$2:$D$225,B97,'Pickup log'!$G$2:$G$225,C97,'Pickup log'!$E$2:$E$225,"Economy")</f>
        <v>0</v>
      </c>
      <c r="I97" s="5" t="n">
        <f aca="false">IF(H97=0,0,_xlfn.MAXIFS('Pickup log'!$H$2:$H$225,'Pickup log'!$K$2:$K$225,A97,'Pickup log'!$D$2:$D$225,B97,'Pickup log'!$G$2:$G$225,C97,'Pickup log'!$E$2:$E$225,"Economy"))</f>
        <v>0</v>
      </c>
      <c r="J97" s="5" t="n">
        <f aca="false">IF(H97=0,0,2*I97+Notes!$B$25*(H97-1))</f>
        <v>0</v>
      </c>
      <c r="K97" s="14" t="n">
        <f aca="false">IF(C97="Matador",J97/Notes!$B$21*Notes!$B$22,J97/Notes!$B$23*Notes!$B$24)</f>
        <v>0</v>
      </c>
    </row>
    <row r="98" customFormat="false" ht="15" hidden="false" customHeight="false" outlineLevel="0" collapsed="false">
      <c r="A98" s="12" t="n">
        <v>45428</v>
      </c>
      <c r="B98" s="5" t="s">
        <v>101</v>
      </c>
      <c r="C98" s="5" t="s">
        <v>150</v>
      </c>
      <c r="D98" s="5" t="n">
        <f aca="false">COUNTIFS('Pickup log'!$K$2:$K$225,A98,'Pickup log'!$D$2:$D$225,B98,'Pickup log'!$G$2:$G$225,C98)</f>
        <v>1</v>
      </c>
      <c r="E98" s="5" t="n">
        <f aca="false">IF(D98=0,0,_xlfn.MAXIFS('Pickup log'!$H$2:$H$225,'Pickup log'!$K$2:$K$225,A98,'Pickup log'!$D$2:$D$225,B98,'Pickup log'!$G$2:$G$225,C98))</f>
        <v>11</v>
      </c>
      <c r="F98" s="5" t="n">
        <f aca="false">IF(D98=0,0,2*E98+Notes!$B$25*(D98-1))</f>
        <v>22</v>
      </c>
      <c r="G98" s="14" t="n">
        <f aca="false">IF(C98="Matador",F98/Notes!$B$21*Notes!$B$22,F98/Notes!$B$23*Notes!$B$24)</f>
        <v>48.8106666666667</v>
      </c>
      <c r="H98" s="5" t="n">
        <f aca="false">COUNTIFS('Pickup log'!$K$2:$K$225,A98,'Pickup log'!$D$2:$D$225,B98,'Pickup log'!$G$2:$G$225,C98,'Pickup log'!$E$2:$E$225,"Economy")</f>
        <v>1</v>
      </c>
      <c r="I98" s="5" t="n">
        <f aca="false">IF(H98=0,0,_xlfn.MAXIFS('Pickup log'!$H$2:$H$225,'Pickup log'!$K$2:$K$225,A98,'Pickup log'!$D$2:$D$225,B98,'Pickup log'!$G$2:$G$225,C98,'Pickup log'!$E$2:$E$225,"Economy"))</f>
        <v>11</v>
      </c>
      <c r="J98" s="5" t="n">
        <f aca="false">IF(H98=0,0,2*I98+Notes!$B$25*(H98-1))</f>
        <v>22</v>
      </c>
      <c r="K98" s="14" t="n">
        <f aca="false">IF(C98="Matador",J98/Notes!$B$21*Notes!$B$22,J98/Notes!$B$23*Notes!$B$24)</f>
        <v>48.8106666666667</v>
      </c>
    </row>
    <row r="99" customFormat="false" ht="15" hidden="false" customHeight="false" outlineLevel="0" collapsed="false">
      <c r="A99" s="12" t="n">
        <v>45428</v>
      </c>
      <c r="B99" s="5" t="s">
        <v>101</v>
      </c>
      <c r="C99" s="5" t="s">
        <v>151</v>
      </c>
      <c r="D99" s="5" t="n">
        <f aca="false">COUNTIFS('Pickup log'!$K$2:$K$225,A99,'Pickup log'!$D$2:$D$225,B99,'Pickup log'!$G$2:$G$225,C99)</f>
        <v>0</v>
      </c>
      <c r="E99" s="5" t="n">
        <f aca="false">IF(D99=0,0,_xlfn.MAXIFS('Pickup log'!$H$2:$H$225,'Pickup log'!$K$2:$K$225,A99,'Pickup log'!$D$2:$D$225,B99,'Pickup log'!$G$2:$G$225,C99))</f>
        <v>0</v>
      </c>
      <c r="F99" s="5" t="n">
        <f aca="false">IF(D99=0,0,2*E99+Notes!$B$25*(D99-1))</f>
        <v>0</v>
      </c>
      <c r="G99" s="14" t="n">
        <f aca="false">IF(C99="Matador",F99/Notes!$B$21*Notes!$B$22,F99/Notes!$B$23*Notes!$B$24)</f>
        <v>0</v>
      </c>
      <c r="H99" s="5" t="n">
        <f aca="false">COUNTIFS('Pickup log'!$K$2:$K$225,A99,'Pickup log'!$D$2:$D$225,B99,'Pickup log'!$G$2:$G$225,C99,'Pickup log'!$E$2:$E$225,"Economy")</f>
        <v>0</v>
      </c>
      <c r="I99" s="5" t="n">
        <f aca="false">IF(H99=0,0,_xlfn.MAXIFS('Pickup log'!$H$2:$H$225,'Pickup log'!$K$2:$K$225,A99,'Pickup log'!$D$2:$D$225,B99,'Pickup log'!$G$2:$G$225,C99,'Pickup log'!$E$2:$E$225,"Economy"))</f>
        <v>0</v>
      </c>
      <c r="J99" s="5" t="n">
        <f aca="false">IF(H99=0,0,2*I99+Notes!$B$25*(H99-1))</f>
        <v>0</v>
      </c>
      <c r="K99" s="14" t="n">
        <f aca="false">IF(C99="Matador",J99/Notes!$B$21*Notes!$B$22,J99/Notes!$B$23*Notes!$B$24)</f>
        <v>0</v>
      </c>
    </row>
    <row r="100" customFormat="false" ht="15" hidden="false" customHeight="false" outlineLevel="0" collapsed="false">
      <c r="A100" s="12" t="n">
        <v>45428</v>
      </c>
      <c r="B100" s="5" t="s">
        <v>114</v>
      </c>
      <c r="C100" s="5" t="s">
        <v>150</v>
      </c>
      <c r="D100" s="5" t="n">
        <f aca="false">COUNTIFS('Pickup log'!$K$2:$K$225,A100,'Pickup log'!$D$2:$D$225,B100,'Pickup log'!$G$2:$G$225,C100)</f>
        <v>0</v>
      </c>
      <c r="E100" s="5" t="n">
        <f aca="false">IF(D100=0,0,_xlfn.MAXIFS('Pickup log'!$H$2:$H$225,'Pickup log'!$K$2:$K$225,A100,'Pickup log'!$D$2:$D$225,B100,'Pickup log'!$G$2:$G$225,C100))</f>
        <v>0</v>
      </c>
      <c r="F100" s="5" t="n">
        <f aca="false">IF(D100=0,0,2*E100+Notes!$B$25*(D100-1))</f>
        <v>0</v>
      </c>
      <c r="G100" s="14" t="n">
        <f aca="false">IF(C100="Matador",F100/Notes!$B$21*Notes!$B$22,F100/Notes!$B$23*Notes!$B$24)</f>
        <v>0</v>
      </c>
      <c r="H100" s="5" t="n">
        <f aca="false">COUNTIFS('Pickup log'!$K$2:$K$225,A100,'Pickup log'!$D$2:$D$225,B100,'Pickup log'!$G$2:$G$225,C100,'Pickup log'!$E$2:$E$225,"Economy")</f>
        <v>0</v>
      </c>
      <c r="I100" s="5" t="n">
        <f aca="false">IF(H100=0,0,_xlfn.MAXIFS('Pickup log'!$H$2:$H$225,'Pickup log'!$K$2:$K$225,A100,'Pickup log'!$D$2:$D$225,B100,'Pickup log'!$G$2:$G$225,C100,'Pickup log'!$E$2:$E$225,"Economy"))</f>
        <v>0</v>
      </c>
      <c r="J100" s="5" t="n">
        <f aca="false">IF(H100=0,0,2*I100+Notes!$B$25*(H100-1))</f>
        <v>0</v>
      </c>
      <c r="K100" s="14" t="n">
        <f aca="false">IF(C100="Matador",J100/Notes!$B$21*Notes!$B$22,J100/Notes!$B$23*Notes!$B$24)</f>
        <v>0</v>
      </c>
    </row>
    <row r="101" customFormat="false" ht="15" hidden="false" customHeight="false" outlineLevel="0" collapsed="false">
      <c r="A101" s="12" t="n">
        <v>45428</v>
      </c>
      <c r="B101" s="5" t="s">
        <v>114</v>
      </c>
      <c r="C101" s="5" t="s">
        <v>151</v>
      </c>
      <c r="D101" s="5" t="n">
        <f aca="false">COUNTIFS('Pickup log'!$K$2:$K$225,A101,'Pickup log'!$D$2:$D$225,B101,'Pickup log'!$G$2:$G$225,C101)</f>
        <v>0</v>
      </c>
      <c r="E101" s="5" t="n">
        <f aca="false">IF(D101=0,0,_xlfn.MAXIFS('Pickup log'!$H$2:$H$225,'Pickup log'!$K$2:$K$225,A101,'Pickup log'!$D$2:$D$225,B101,'Pickup log'!$G$2:$G$225,C101))</f>
        <v>0</v>
      </c>
      <c r="F101" s="5" t="n">
        <f aca="false">IF(D101=0,0,2*E101+Notes!$B$25*(D101-1))</f>
        <v>0</v>
      </c>
      <c r="G101" s="14" t="n">
        <f aca="false">IF(C101="Matador",F101/Notes!$B$21*Notes!$B$22,F101/Notes!$B$23*Notes!$B$24)</f>
        <v>0</v>
      </c>
      <c r="H101" s="5" t="n">
        <f aca="false">COUNTIFS('Pickup log'!$K$2:$K$225,A101,'Pickup log'!$D$2:$D$225,B101,'Pickup log'!$G$2:$G$225,C101,'Pickup log'!$E$2:$E$225,"Economy")</f>
        <v>0</v>
      </c>
      <c r="I101" s="5" t="n">
        <f aca="false">IF(H101=0,0,_xlfn.MAXIFS('Pickup log'!$H$2:$H$225,'Pickup log'!$K$2:$K$225,A101,'Pickup log'!$D$2:$D$225,B101,'Pickup log'!$G$2:$G$225,C101,'Pickup log'!$E$2:$E$225,"Economy"))</f>
        <v>0</v>
      </c>
      <c r="J101" s="5" t="n">
        <f aca="false">IF(H101=0,0,2*I101+Notes!$B$25*(H101-1))</f>
        <v>0</v>
      </c>
      <c r="K101" s="14" t="n">
        <f aca="false">IF(C101="Matador",J101/Notes!$B$21*Notes!$B$22,J101/Notes!$B$23*Notes!$B$24)</f>
        <v>0</v>
      </c>
    </row>
    <row r="102" customFormat="false" ht="15" hidden="false" customHeight="false" outlineLevel="0" collapsed="false">
      <c r="A102" s="12" t="n">
        <v>45429</v>
      </c>
      <c r="B102" s="5" t="s">
        <v>56</v>
      </c>
      <c r="C102" s="5" t="s">
        <v>150</v>
      </c>
      <c r="D102" s="5" t="n">
        <f aca="false">COUNTIFS('Pickup log'!$K$2:$K$225,A102,'Pickup log'!$D$2:$D$225,B102,'Pickup log'!$G$2:$G$225,C102)</f>
        <v>2</v>
      </c>
      <c r="E102" s="5" t="n">
        <f aca="false">IF(D102=0,0,_xlfn.MAXIFS('Pickup log'!$H$2:$H$225,'Pickup log'!$K$2:$K$225,A102,'Pickup log'!$D$2:$D$225,B102,'Pickup log'!$G$2:$G$225,C102))</f>
        <v>4.5</v>
      </c>
      <c r="F102" s="5" t="n">
        <f aca="false">IF(D102=0,0,2*E102+Notes!$B$25*(D102-1))</f>
        <v>11</v>
      </c>
      <c r="G102" s="14" t="n">
        <f aca="false">IF(C102="Matador",F102/Notes!$B$21*Notes!$B$22,F102/Notes!$B$23*Notes!$B$24)</f>
        <v>24.4053333333333</v>
      </c>
      <c r="H102" s="5" t="n">
        <f aca="false">COUNTIFS('Pickup log'!$K$2:$K$225,A102,'Pickup log'!$D$2:$D$225,B102,'Pickup log'!$G$2:$G$225,C102,'Pickup log'!$E$2:$E$225,"Economy")</f>
        <v>1</v>
      </c>
      <c r="I102" s="5" t="n">
        <f aca="false">IF(H102=0,0,_xlfn.MAXIFS('Pickup log'!$H$2:$H$225,'Pickup log'!$K$2:$K$225,A102,'Pickup log'!$D$2:$D$225,B102,'Pickup log'!$G$2:$G$225,C102,'Pickup log'!$E$2:$E$225,"Economy"))</f>
        <v>2</v>
      </c>
      <c r="J102" s="5" t="n">
        <f aca="false">IF(H102=0,0,2*I102+Notes!$B$25*(H102-1))</f>
        <v>4</v>
      </c>
      <c r="K102" s="14" t="n">
        <f aca="false">IF(C102="Matador",J102/Notes!$B$21*Notes!$B$22,J102/Notes!$B$23*Notes!$B$24)</f>
        <v>8.87466666666667</v>
      </c>
    </row>
    <row r="103" customFormat="false" ht="15" hidden="false" customHeight="false" outlineLevel="0" collapsed="false">
      <c r="A103" s="12" t="n">
        <v>45429</v>
      </c>
      <c r="B103" s="5" t="s">
        <v>56</v>
      </c>
      <c r="C103" s="5" t="s">
        <v>151</v>
      </c>
      <c r="D103" s="5" t="n">
        <f aca="false">COUNTIFS('Pickup log'!$K$2:$K$225,A103,'Pickup log'!$D$2:$D$225,B103,'Pickup log'!$G$2:$G$225,C103)</f>
        <v>0</v>
      </c>
      <c r="E103" s="5" t="n">
        <f aca="false">IF(D103=0,0,_xlfn.MAXIFS('Pickup log'!$H$2:$H$225,'Pickup log'!$K$2:$K$225,A103,'Pickup log'!$D$2:$D$225,B103,'Pickup log'!$G$2:$G$225,C103))</f>
        <v>0</v>
      </c>
      <c r="F103" s="5" t="n">
        <f aca="false">IF(D103=0,0,2*E103+Notes!$B$25*(D103-1))</f>
        <v>0</v>
      </c>
      <c r="G103" s="14" t="n">
        <f aca="false">IF(C103="Matador",F103/Notes!$B$21*Notes!$B$22,F103/Notes!$B$23*Notes!$B$24)</f>
        <v>0</v>
      </c>
      <c r="H103" s="5" t="n">
        <f aca="false">COUNTIFS('Pickup log'!$K$2:$K$225,A103,'Pickup log'!$D$2:$D$225,B103,'Pickup log'!$G$2:$G$225,C103,'Pickup log'!$E$2:$E$225,"Economy")</f>
        <v>0</v>
      </c>
      <c r="I103" s="5" t="n">
        <f aca="false">IF(H103=0,0,_xlfn.MAXIFS('Pickup log'!$H$2:$H$225,'Pickup log'!$K$2:$K$225,A103,'Pickup log'!$D$2:$D$225,B103,'Pickup log'!$G$2:$G$225,C103,'Pickup log'!$E$2:$E$225,"Economy"))</f>
        <v>0</v>
      </c>
      <c r="J103" s="5" t="n">
        <f aca="false">IF(H103=0,0,2*I103+Notes!$B$25*(H103-1))</f>
        <v>0</v>
      </c>
      <c r="K103" s="14" t="n">
        <f aca="false">IF(C103="Matador",J103/Notes!$B$21*Notes!$B$22,J103/Notes!$B$23*Notes!$B$24)</f>
        <v>0</v>
      </c>
    </row>
    <row r="104" customFormat="false" ht="15" hidden="false" customHeight="false" outlineLevel="0" collapsed="false">
      <c r="A104" s="12" t="n">
        <v>45429</v>
      </c>
      <c r="B104" s="5" t="s">
        <v>73</v>
      </c>
      <c r="C104" s="5" t="s">
        <v>150</v>
      </c>
      <c r="D104" s="5" t="n">
        <f aca="false">COUNTIFS('Pickup log'!$K$2:$K$225,A104,'Pickup log'!$D$2:$D$225,B104,'Pickup log'!$G$2:$G$225,C104)</f>
        <v>1</v>
      </c>
      <c r="E104" s="5" t="n">
        <f aca="false">IF(D104=0,0,_xlfn.MAXIFS('Pickup log'!$H$2:$H$225,'Pickup log'!$K$2:$K$225,A104,'Pickup log'!$D$2:$D$225,B104,'Pickup log'!$G$2:$G$225,C104))</f>
        <v>11.5</v>
      </c>
      <c r="F104" s="5" t="n">
        <f aca="false">IF(D104=0,0,2*E104+Notes!$B$25*(D104-1))</f>
        <v>23</v>
      </c>
      <c r="G104" s="14" t="n">
        <f aca="false">IF(C104="Matador",F104/Notes!$B$21*Notes!$B$22,F104/Notes!$B$23*Notes!$B$24)</f>
        <v>51.0293333333333</v>
      </c>
      <c r="H104" s="5" t="n">
        <f aca="false">COUNTIFS('Pickup log'!$K$2:$K$225,A104,'Pickup log'!$D$2:$D$225,B104,'Pickup log'!$G$2:$G$225,C104,'Pickup log'!$E$2:$E$225,"Economy")</f>
        <v>1</v>
      </c>
      <c r="I104" s="5" t="n">
        <f aca="false">IF(H104=0,0,_xlfn.MAXIFS('Pickup log'!$H$2:$H$225,'Pickup log'!$K$2:$K$225,A104,'Pickup log'!$D$2:$D$225,B104,'Pickup log'!$G$2:$G$225,C104,'Pickup log'!$E$2:$E$225,"Economy"))</f>
        <v>11.5</v>
      </c>
      <c r="J104" s="5" t="n">
        <f aca="false">IF(H104=0,0,2*I104+Notes!$B$25*(H104-1))</f>
        <v>23</v>
      </c>
      <c r="K104" s="14" t="n">
        <f aca="false">IF(C104="Matador",J104/Notes!$B$21*Notes!$B$22,J104/Notes!$B$23*Notes!$B$24)</f>
        <v>51.0293333333333</v>
      </c>
    </row>
    <row r="105" customFormat="false" ht="15" hidden="false" customHeight="false" outlineLevel="0" collapsed="false">
      <c r="A105" s="12" t="n">
        <v>45429</v>
      </c>
      <c r="B105" s="5" t="s">
        <v>73</v>
      </c>
      <c r="C105" s="5" t="s">
        <v>151</v>
      </c>
      <c r="D105" s="5" t="n">
        <f aca="false">COUNTIFS('Pickup log'!$K$2:$K$225,A105,'Pickup log'!$D$2:$D$225,B105,'Pickup log'!$G$2:$G$225,C105)</f>
        <v>1</v>
      </c>
      <c r="E105" s="5" t="n">
        <f aca="false">IF(D105=0,0,_xlfn.MAXIFS('Pickup log'!$H$2:$H$225,'Pickup log'!$K$2:$K$225,A105,'Pickup log'!$D$2:$D$225,B105,'Pickup log'!$G$2:$G$225,C105))</f>
        <v>7</v>
      </c>
      <c r="F105" s="5" t="n">
        <f aca="false">IF(D105=0,0,2*E105+Notes!$B$25*(D105-1))</f>
        <v>14</v>
      </c>
      <c r="G105" s="14" t="n">
        <f aca="false">IF(C105="Matador",F105/Notes!$B$21*Notes!$B$22,F105/Notes!$B$23*Notes!$B$24)</f>
        <v>75.18875</v>
      </c>
      <c r="H105" s="5" t="n">
        <f aca="false">COUNTIFS('Pickup log'!$K$2:$K$225,A105,'Pickup log'!$D$2:$D$225,B105,'Pickup log'!$G$2:$G$225,C105,'Pickup log'!$E$2:$E$225,"Economy")</f>
        <v>1</v>
      </c>
      <c r="I105" s="5" t="n">
        <f aca="false">IF(H105=0,0,_xlfn.MAXIFS('Pickup log'!$H$2:$H$225,'Pickup log'!$K$2:$K$225,A105,'Pickup log'!$D$2:$D$225,B105,'Pickup log'!$G$2:$G$225,C105,'Pickup log'!$E$2:$E$225,"Economy"))</f>
        <v>7</v>
      </c>
      <c r="J105" s="5" t="n">
        <f aca="false">IF(H105=0,0,2*I105+Notes!$B$25*(H105-1))</f>
        <v>14</v>
      </c>
      <c r="K105" s="14" t="n">
        <f aca="false">IF(C105="Matador",J105/Notes!$B$21*Notes!$B$22,J105/Notes!$B$23*Notes!$B$24)</f>
        <v>75.18875</v>
      </c>
    </row>
    <row r="106" customFormat="false" ht="15" hidden="false" customHeight="false" outlineLevel="0" collapsed="false">
      <c r="A106" s="12" t="n">
        <v>45429</v>
      </c>
      <c r="B106" s="5" t="s">
        <v>90</v>
      </c>
      <c r="C106" s="5" t="s">
        <v>150</v>
      </c>
      <c r="D106" s="5" t="n">
        <f aca="false">COUNTIFS('Pickup log'!$K$2:$K$225,A106,'Pickup log'!$D$2:$D$225,B106,'Pickup log'!$G$2:$G$225,C106)</f>
        <v>1</v>
      </c>
      <c r="E106" s="5" t="n">
        <f aca="false">IF(D106=0,0,_xlfn.MAXIFS('Pickup log'!$H$2:$H$225,'Pickup log'!$K$2:$K$225,A106,'Pickup log'!$D$2:$D$225,B106,'Pickup log'!$G$2:$G$225,C106))</f>
        <v>6.5</v>
      </c>
      <c r="F106" s="5" t="n">
        <f aca="false">IF(D106=0,0,2*E106+Notes!$B$25*(D106-1))</f>
        <v>13</v>
      </c>
      <c r="G106" s="14" t="n">
        <f aca="false">IF(C106="Matador",F106/Notes!$B$21*Notes!$B$22,F106/Notes!$B$23*Notes!$B$24)</f>
        <v>28.8426666666667</v>
      </c>
      <c r="H106" s="5" t="n">
        <f aca="false">COUNTIFS('Pickup log'!$K$2:$K$225,A106,'Pickup log'!$D$2:$D$225,B106,'Pickup log'!$G$2:$G$225,C106,'Pickup log'!$E$2:$E$225,"Economy")</f>
        <v>0</v>
      </c>
      <c r="I106" s="5" t="n">
        <f aca="false">IF(H106=0,0,_xlfn.MAXIFS('Pickup log'!$H$2:$H$225,'Pickup log'!$K$2:$K$225,A106,'Pickup log'!$D$2:$D$225,B106,'Pickup log'!$G$2:$G$225,C106,'Pickup log'!$E$2:$E$225,"Economy"))</f>
        <v>0</v>
      </c>
      <c r="J106" s="5" t="n">
        <f aca="false">IF(H106=0,0,2*I106+Notes!$B$25*(H106-1))</f>
        <v>0</v>
      </c>
      <c r="K106" s="14" t="n">
        <f aca="false">IF(C106="Matador",J106/Notes!$B$21*Notes!$B$22,J106/Notes!$B$23*Notes!$B$24)</f>
        <v>0</v>
      </c>
    </row>
    <row r="107" customFormat="false" ht="15" hidden="false" customHeight="false" outlineLevel="0" collapsed="false">
      <c r="A107" s="12" t="n">
        <v>45429</v>
      </c>
      <c r="B107" s="5" t="s">
        <v>90</v>
      </c>
      <c r="C107" s="5" t="s">
        <v>151</v>
      </c>
      <c r="D107" s="5" t="n">
        <f aca="false">COUNTIFS('Pickup log'!$K$2:$K$225,A107,'Pickup log'!$D$2:$D$225,B107,'Pickup log'!$G$2:$G$225,C107)</f>
        <v>0</v>
      </c>
      <c r="E107" s="5" t="n">
        <f aca="false">IF(D107=0,0,_xlfn.MAXIFS('Pickup log'!$H$2:$H$225,'Pickup log'!$K$2:$K$225,A107,'Pickup log'!$D$2:$D$225,B107,'Pickup log'!$G$2:$G$225,C107))</f>
        <v>0</v>
      </c>
      <c r="F107" s="5" t="n">
        <f aca="false">IF(D107=0,0,2*E107+Notes!$B$25*(D107-1))</f>
        <v>0</v>
      </c>
      <c r="G107" s="14" t="n">
        <f aca="false">IF(C107="Matador",F107/Notes!$B$21*Notes!$B$22,F107/Notes!$B$23*Notes!$B$24)</f>
        <v>0</v>
      </c>
      <c r="H107" s="5" t="n">
        <f aca="false">COUNTIFS('Pickup log'!$K$2:$K$225,A107,'Pickup log'!$D$2:$D$225,B107,'Pickup log'!$G$2:$G$225,C107,'Pickup log'!$E$2:$E$225,"Economy")</f>
        <v>0</v>
      </c>
      <c r="I107" s="5" t="n">
        <f aca="false">IF(H107=0,0,_xlfn.MAXIFS('Pickup log'!$H$2:$H$225,'Pickup log'!$K$2:$K$225,A107,'Pickup log'!$D$2:$D$225,B107,'Pickup log'!$G$2:$G$225,C107,'Pickup log'!$E$2:$E$225,"Economy"))</f>
        <v>0</v>
      </c>
      <c r="J107" s="5" t="n">
        <f aca="false">IF(H107=0,0,2*I107+Notes!$B$25*(H107-1))</f>
        <v>0</v>
      </c>
      <c r="K107" s="14" t="n">
        <f aca="false">IF(C107="Matador",J107/Notes!$B$21*Notes!$B$22,J107/Notes!$B$23*Notes!$B$24)</f>
        <v>0</v>
      </c>
    </row>
    <row r="108" customFormat="false" ht="15" hidden="false" customHeight="false" outlineLevel="0" collapsed="false">
      <c r="A108" s="12" t="n">
        <v>45429</v>
      </c>
      <c r="B108" s="5" t="s">
        <v>101</v>
      </c>
      <c r="C108" s="5" t="s">
        <v>150</v>
      </c>
      <c r="D108" s="5" t="n">
        <f aca="false">COUNTIFS('Pickup log'!$K$2:$K$225,A108,'Pickup log'!$D$2:$D$225,B108,'Pickup log'!$G$2:$G$225,C108)</f>
        <v>2</v>
      </c>
      <c r="E108" s="5" t="n">
        <f aca="false">IF(D108=0,0,_xlfn.MAXIFS('Pickup log'!$H$2:$H$225,'Pickup log'!$K$2:$K$225,A108,'Pickup log'!$D$2:$D$225,B108,'Pickup log'!$G$2:$G$225,C108))</f>
        <v>11</v>
      </c>
      <c r="F108" s="5" t="n">
        <f aca="false">IF(D108=0,0,2*E108+Notes!$B$25*(D108-1))</f>
        <v>24</v>
      </c>
      <c r="G108" s="14" t="n">
        <f aca="false">IF(C108="Matador",F108/Notes!$B$21*Notes!$B$22,F108/Notes!$B$23*Notes!$B$24)</f>
        <v>53.248</v>
      </c>
      <c r="H108" s="5" t="n">
        <f aca="false">COUNTIFS('Pickup log'!$K$2:$K$225,A108,'Pickup log'!$D$2:$D$225,B108,'Pickup log'!$G$2:$G$225,C108,'Pickup log'!$E$2:$E$225,"Economy")</f>
        <v>2</v>
      </c>
      <c r="I108" s="5" t="n">
        <f aca="false">IF(H108=0,0,_xlfn.MAXIFS('Pickup log'!$H$2:$H$225,'Pickup log'!$K$2:$K$225,A108,'Pickup log'!$D$2:$D$225,B108,'Pickup log'!$G$2:$G$225,C108,'Pickup log'!$E$2:$E$225,"Economy"))</f>
        <v>11</v>
      </c>
      <c r="J108" s="5" t="n">
        <f aca="false">IF(H108=0,0,2*I108+Notes!$B$25*(H108-1))</f>
        <v>24</v>
      </c>
      <c r="K108" s="14" t="n">
        <f aca="false">IF(C108="Matador",J108/Notes!$B$21*Notes!$B$22,J108/Notes!$B$23*Notes!$B$24)</f>
        <v>53.248</v>
      </c>
    </row>
    <row r="109" customFormat="false" ht="15" hidden="false" customHeight="false" outlineLevel="0" collapsed="false">
      <c r="A109" s="12" t="n">
        <v>45429</v>
      </c>
      <c r="B109" s="5" t="s">
        <v>101</v>
      </c>
      <c r="C109" s="5" t="s">
        <v>151</v>
      </c>
      <c r="D109" s="5" t="n">
        <f aca="false">COUNTIFS('Pickup log'!$K$2:$K$225,A109,'Pickup log'!$D$2:$D$225,B109,'Pickup log'!$G$2:$G$225,C109)</f>
        <v>0</v>
      </c>
      <c r="E109" s="5" t="n">
        <f aca="false">IF(D109=0,0,_xlfn.MAXIFS('Pickup log'!$H$2:$H$225,'Pickup log'!$K$2:$K$225,A109,'Pickup log'!$D$2:$D$225,B109,'Pickup log'!$G$2:$G$225,C109))</f>
        <v>0</v>
      </c>
      <c r="F109" s="5" t="n">
        <f aca="false">IF(D109=0,0,2*E109+Notes!$B$25*(D109-1))</f>
        <v>0</v>
      </c>
      <c r="G109" s="14" t="n">
        <f aca="false">IF(C109="Matador",F109/Notes!$B$21*Notes!$B$22,F109/Notes!$B$23*Notes!$B$24)</f>
        <v>0</v>
      </c>
      <c r="H109" s="5" t="n">
        <f aca="false">COUNTIFS('Pickup log'!$K$2:$K$225,A109,'Pickup log'!$D$2:$D$225,B109,'Pickup log'!$G$2:$G$225,C109,'Pickup log'!$E$2:$E$225,"Economy")</f>
        <v>0</v>
      </c>
      <c r="I109" s="5" t="n">
        <f aca="false">IF(H109=0,0,_xlfn.MAXIFS('Pickup log'!$H$2:$H$225,'Pickup log'!$K$2:$K$225,A109,'Pickup log'!$D$2:$D$225,B109,'Pickup log'!$G$2:$G$225,C109,'Pickup log'!$E$2:$E$225,"Economy"))</f>
        <v>0</v>
      </c>
      <c r="J109" s="5" t="n">
        <f aca="false">IF(H109=0,0,2*I109+Notes!$B$25*(H109-1))</f>
        <v>0</v>
      </c>
      <c r="K109" s="14" t="n">
        <f aca="false">IF(C109="Matador",J109/Notes!$B$21*Notes!$B$22,J109/Notes!$B$23*Notes!$B$24)</f>
        <v>0</v>
      </c>
    </row>
    <row r="110" customFormat="false" ht="15" hidden="false" customHeight="false" outlineLevel="0" collapsed="false">
      <c r="A110" s="12" t="n">
        <v>45429</v>
      </c>
      <c r="B110" s="5" t="s">
        <v>114</v>
      </c>
      <c r="C110" s="5" t="s">
        <v>150</v>
      </c>
      <c r="D110" s="5" t="n">
        <f aca="false">COUNTIFS('Pickup log'!$K$2:$K$225,A110,'Pickup log'!$D$2:$D$225,B110,'Pickup log'!$G$2:$G$225,C110)</f>
        <v>0</v>
      </c>
      <c r="E110" s="5" t="n">
        <f aca="false">IF(D110=0,0,_xlfn.MAXIFS('Pickup log'!$H$2:$H$225,'Pickup log'!$K$2:$K$225,A110,'Pickup log'!$D$2:$D$225,B110,'Pickup log'!$G$2:$G$225,C110))</f>
        <v>0</v>
      </c>
      <c r="F110" s="5" t="n">
        <f aca="false">IF(D110=0,0,2*E110+Notes!$B$25*(D110-1))</f>
        <v>0</v>
      </c>
      <c r="G110" s="14" t="n">
        <f aca="false">IF(C110="Matador",F110/Notes!$B$21*Notes!$B$22,F110/Notes!$B$23*Notes!$B$24)</f>
        <v>0</v>
      </c>
      <c r="H110" s="5" t="n">
        <f aca="false">COUNTIFS('Pickup log'!$K$2:$K$225,A110,'Pickup log'!$D$2:$D$225,B110,'Pickup log'!$G$2:$G$225,C110,'Pickup log'!$E$2:$E$225,"Economy")</f>
        <v>0</v>
      </c>
      <c r="I110" s="5" t="n">
        <f aca="false">IF(H110=0,0,_xlfn.MAXIFS('Pickup log'!$H$2:$H$225,'Pickup log'!$K$2:$K$225,A110,'Pickup log'!$D$2:$D$225,B110,'Pickup log'!$G$2:$G$225,C110,'Pickup log'!$E$2:$E$225,"Economy"))</f>
        <v>0</v>
      </c>
      <c r="J110" s="5" t="n">
        <f aca="false">IF(H110=0,0,2*I110+Notes!$B$25*(H110-1))</f>
        <v>0</v>
      </c>
      <c r="K110" s="14" t="n">
        <f aca="false">IF(C110="Matador",J110/Notes!$B$21*Notes!$B$22,J110/Notes!$B$23*Notes!$B$24)</f>
        <v>0</v>
      </c>
    </row>
    <row r="111" customFormat="false" ht="15" hidden="false" customHeight="false" outlineLevel="0" collapsed="false">
      <c r="A111" s="12" t="n">
        <v>45429</v>
      </c>
      <c r="B111" s="5" t="s">
        <v>114</v>
      </c>
      <c r="C111" s="5" t="s">
        <v>151</v>
      </c>
      <c r="D111" s="5" t="n">
        <f aca="false">COUNTIFS('Pickup log'!$K$2:$K$225,A111,'Pickup log'!$D$2:$D$225,B111,'Pickup log'!$G$2:$G$225,C111)</f>
        <v>0</v>
      </c>
      <c r="E111" s="5" t="n">
        <f aca="false">IF(D111=0,0,_xlfn.MAXIFS('Pickup log'!$H$2:$H$225,'Pickup log'!$K$2:$K$225,A111,'Pickup log'!$D$2:$D$225,B111,'Pickup log'!$G$2:$G$225,C111))</f>
        <v>0</v>
      </c>
      <c r="F111" s="5" t="n">
        <f aca="false">IF(D111=0,0,2*E111+Notes!$B$25*(D111-1))</f>
        <v>0</v>
      </c>
      <c r="G111" s="14" t="n">
        <f aca="false">IF(C111="Matador",F111/Notes!$B$21*Notes!$B$22,F111/Notes!$B$23*Notes!$B$24)</f>
        <v>0</v>
      </c>
      <c r="H111" s="5" t="n">
        <f aca="false">COUNTIFS('Pickup log'!$K$2:$K$225,A111,'Pickup log'!$D$2:$D$225,B111,'Pickup log'!$G$2:$G$225,C111,'Pickup log'!$E$2:$E$225,"Economy")</f>
        <v>0</v>
      </c>
      <c r="I111" s="5" t="n">
        <f aca="false">IF(H111=0,0,_xlfn.MAXIFS('Pickup log'!$H$2:$H$225,'Pickup log'!$K$2:$K$225,A111,'Pickup log'!$D$2:$D$225,B111,'Pickup log'!$G$2:$G$225,C111,'Pickup log'!$E$2:$E$225,"Economy"))</f>
        <v>0</v>
      </c>
      <c r="J111" s="5" t="n">
        <f aca="false">IF(H111=0,0,2*I111+Notes!$B$25*(H111-1))</f>
        <v>0</v>
      </c>
      <c r="K111" s="14" t="n">
        <f aca="false">IF(C111="Matador",J111/Notes!$B$21*Notes!$B$22,J111/Notes!$B$23*Notes!$B$24)</f>
        <v>0</v>
      </c>
    </row>
    <row r="112" customFormat="false" ht="15" hidden="false" customHeight="false" outlineLevel="0" collapsed="false">
      <c r="A112" s="12" t="n">
        <v>45430</v>
      </c>
      <c r="B112" s="5" t="s">
        <v>56</v>
      </c>
      <c r="C112" s="5" t="s">
        <v>150</v>
      </c>
      <c r="D112" s="5" t="n">
        <f aca="false">COUNTIFS('Pickup log'!$K$2:$K$225,A112,'Pickup log'!$D$2:$D$225,B112,'Pickup log'!$G$2:$G$225,C112)</f>
        <v>3</v>
      </c>
      <c r="E112" s="5" t="n">
        <f aca="false">IF(D112=0,0,_xlfn.MAXIFS('Pickup log'!$H$2:$H$225,'Pickup log'!$K$2:$K$225,A112,'Pickup log'!$D$2:$D$225,B112,'Pickup log'!$G$2:$G$225,C112))</f>
        <v>2</v>
      </c>
      <c r="F112" s="5" t="n">
        <f aca="false">IF(D112=0,0,2*E112+Notes!$B$25*(D112-1))</f>
        <v>8</v>
      </c>
      <c r="G112" s="14" t="n">
        <f aca="false">IF(C112="Matador",F112/Notes!$B$21*Notes!$B$22,F112/Notes!$B$23*Notes!$B$24)</f>
        <v>17.7493333333333</v>
      </c>
      <c r="H112" s="5" t="n">
        <f aca="false">COUNTIFS('Pickup log'!$K$2:$K$225,A112,'Pickup log'!$D$2:$D$225,B112,'Pickup log'!$G$2:$G$225,C112,'Pickup log'!$E$2:$E$225,"Economy")</f>
        <v>3</v>
      </c>
      <c r="I112" s="5" t="n">
        <f aca="false">IF(H112=0,0,_xlfn.MAXIFS('Pickup log'!$H$2:$H$225,'Pickup log'!$K$2:$K$225,A112,'Pickup log'!$D$2:$D$225,B112,'Pickup log'!$G$2:$G$225,C112,'Pickup log'!$E$2:$E$225,"Economy"))</f>
        <v>2</v>
      </c>
      <c r="J112" s="5" t="n">
        <f aca="false">IF(H112=0,0,2*I112+Notes!$B$25*(H112-1))</f>
        <v>8</v>
      </c>
      <c r="K112" s="14" t="n">
        <f aca="false">IF(C112="Matador",J112/Notes!$B$21*Notes!$B$22,J112/Notes!$B$23*Notes!$B$24)</f>
        <v>17.7493333333333</v>
      </c>
    </row>
    <row r="113" customFormat="false" ht="15" hidden="false" customHeight="false" outlineLevel="0" collapsed="false">
      <c r="A113" s="12" t="n">
        <v>45430</v>
      </c>
      <c r="B113" s="5" t="s">
        <v>56</v>
      </c>
      <c r="C113" s="5" t="s">
        <v>151</v>
      </c>
      <c r="D113" s="5" t="n">
        <f aca="false">COUNTIFS('Pickup log'!$K$2:$K$225,A113,'Pickup log'!$D$2:$D$225,B113,'Pickup log'!$G$2:$G$225,C113)</f>
        <v>2</v>
      </c>
      <c r="E113" s="5" t="n">
        <f aca="false">IF(D113=0,0,_xlfn.MAXIFS('Pickup log'!$H$2:$H$225,'Pickup log'!$K$2:$K$225,A113,'Pickup log'!$D$2:$D$225,B113,'Pickup log'!$G$2:$G$225,C113))</f>
        <v>3.5</v>
      </c>
      <c r="F113" s="5" t="n">
        <f aca="false">IF(D113=0,0,2*E113+Notes!$B$25*(D113-1))</f>
        <v>9</v>
      </c>
      <c r="G113" s="14" t="n">
        <f aca="false">IF(C113="Matador",F113/Notes!$B$21*Notes!$B$22,F113/Notes!$B$23*Notes!$B$24)</f>
        <v>48.335625</v>
      </c>
      <c r="H113" s="5" t="n">
        <f aca="false">COUNTIFS('Pickup log'!$K$2:$K$225,A113,'Pickup log'!$D$2:$D$225,B113,'Pickup log'!$G$2:$G$225,C113,'Pickup log'!$E$2:$E$225,"Economy")</f>
        <v>2</v>
      </c>
      <c r="I113" s="5" t="n">
        <f aca="false">IF(H113=0,0,_xlfn.MAXIFS('Pickup log'!$H$2:$H$225,'Pickup log'!$K$2:$K$225,A113,'Pickup log'!$D$2:$D$225,B113,'Pickup log'!$G$2:$G$225,C113,'Pickup log'!$E$2:$E$225,"Economy"))</f>
        <v>3.5</v>
      </c>
      <c r="J113" s="5" t="n">
        <f aca="false">IF(H113=0,0,2*I113+Notes!$B$25*(H113-1))</f>
        <v>9</v>
      </c>
      <c r="K113" s="14" t="n">
        <f aca="false">IF(C113="Matador",J113/Notes!$B$21*Notes!$B$22,J113/Notes!$B$23*Notes!$B$24)</f>
        <v>48.335625</v>
      </c>
    </row>
    <row r="114" customFormat="false" ht="15" hidden="false" customHeight="false" outlineLevel="0" collapsed="false">
      <c r="A114" s="12" t="n">
        <v>45430</v>
      </c>
      <c r="B114" s="5" t="s">
        <v>73</v>
      </c>
      <c r="C114" s="5" t="s">
        <v>150</v>
      </c>
      <c r="D114" s="5" t="n">
        <f aca="false">COUNTIFS('Pickup log'!$K$2:$K$225,A114,'Pickup log'!$D$2:$D$225,B114,'Pickup log'!$G$2:$G$225,C114)</f>
        <v>1</v>
      </c>
      <c r="E114" s="5" t="n">
        <f aca="false">IF(D114=0,0,_xlfn.MAXIFS('Pickup log'!$H$2:$H$225,'Pickup log'!$K$2:$K$225,A114,'Pickup log'!$D$2:$D$225,B114,'Pickup log'!$G$2:$G$225,C114))</f>
        <v>11.5</v>
      </c>
      <c r="F114" s="5" t="n">
        <f aca="false">IF(D114=0,0,2*E114+Notes!$B$25*(D114-1))</f>
        <v>23</v>
      </c>
      <c r="G114" s="14" t="n">
        <f aca="false">IF(C114="Matador",F114/Notes!$B$21*Notes!$B$22,F114/Notes!$B$23*Notes!$B$24)</f>
        <v>51.0293333333333</v>
      </c>
      <c r="H114" s="5" t="n">
        <f aca="false">COUNTIFS('Pickup log'!$K$2:$K$225,A114,'Pickup log'!$D$2:$D$225,B114,'Pickup log'!$G$2:$G$225,C114,'Pickup log'!$E$2:$E$225,"Economy")</f>
        <v>1</v>
      </c>
      <c r="I114" s="5" t="n">
        <f aca="false">IF(H114=0,0,_xlfn.MAXIFS('Pickup log'!$H$2:$H$225,'Pickup log'!$K$2:$K$225,A114,'Pickup log'!$D$2:$D$225,B114,'Pickup log'!$G$2:$G$225,C114,'Pickup log'!$E$2:$E$225,"Economy"))</f>
        <v>11.5</v>
      </c>
      <c r="J114" s="5" t="n">
        <f aca="false">IF(H114=0,0,2*I114+Notes!$B$25*(H114-1))</f>
        <v>23</v>
      </c>
      <c r="K114" s="14" t="n">
        <f aca="false">IF(C114="Matador",J114/Notes!$B$21*Notes!$B$22,J114/Notes!$B$23*Notes!$B$24)</f>
        <v>51.0293333333333</v>
      </c>
    </row>
    <row r="115" customFormat="false" ht="15" hidden="false" customHeight="false" outlineLevel="0" collapsed="false">
      <c r="A115" s="12" t="n">
        <v>45430</v>
      </c>
      <c r="B115" s="5" t="s">
        <v>73</v>
      </c>
      <c r="C115" s="5" t="s">
        <v>151</v>
      </c>
      <c r="D115" s="5" t="n">
        <f aca="false">COUNTIFS('Pickup log'!$K$2:$K$225,A115,'Pickup log'!$D$2:$D$225,B115,'Pickup log'!$G$2:$G$225,C115)</f>
        <v>1</v>
      </c>
      <c r="E115" s="5" t="n">
        <f aca="false">IF(D115=0,0,_xlfn.MAXIFS('Pickup log'!$H$2:$H$225,'Pickup log'!$K$2:$K$225,A115,'Pickup log'!$D$2:$D$225,B115,'Pickup log'!$G$2:$G$225,C115))</f>
        <v>2.5</v>
      </c>
      <c r="F115" s="5" t="n">
        <f aca="false">IF(D115=0,0,2*E115+Notes!$B$25*(D115-1))</f>
        <v>5</v>
      </c>
      <c r="G115" s="14" t="n">
        <f aca="false">IF(C115="Matador",F115/Notes!$B$21*Notes!$B$22,F115/Notes!$B$23*Notes!$B$24)</f>
        <v>26.853125</v>
      </c>
      <c r="H115" s="5" t="n">
        <f aca="false">COUNTIFS('Pickup log'!$K$2:$K$225,A115,'Pickup log'!$D$2:$D$225,B115,'Pickup log'!$G$2:$G$225,C115,'Pickup log'!$E$2:$E$225,"Economy")</f>
        <v>0</v>
      </c>
      <c r="I115" s="5" t="n">
        <f aca="false">IF(H115=0,0,_xlfn.MAXIFS('Pickup log'!$H$2:$H$225,'Pickup log'!$K$2:$K$225,A115,'Pickup log'!$D$2:$D$225,B115,'Pickup log'!$G$2:$G$225,C115,'Pickup log'!$E$2:$E$225,"Economy"))</f>
        <v>0</v>
      </c>
      <c r="J115" s="5" t="n">
        <f aca="false">IF(H115=0,0,2*I115+Notes!$B$25*(H115-1))</f>
        <v>0</v>
      </c>
      <c r="K115" s="14" t="n">
        <f aca="false">IF(C115="Matador",J115/Notes!$B$21*Notes!$B$22,J115/Notes!$B$23*Notes!$B$24)</f>
        <v>0</v>
      </c>
    </row>
    <row r="116" customFormat="false" ht="15" hidden="false" customHeight="false" outlineLevel="0" collapsed="false">
      <c r="A116" s="12" t="n">
        <v>45430</v>
      </c>
      <c r="B116" s="5" t="s">
        <v>90</v>
      </c>
      <c r="C116" s="5" t="s">
        <v>150</v>
      </c>
      <c r="D116" s="5" t="n">
        <f aca="false">COUNTIFS('Pickup log'!$K$2:$K$225,A116,'Pickup log'!$D$2:$D$225,B116,'Pickup log'!$G$2:$G$225,C116)</f>
        <v>0</v>
      </c>
      <c r="E116" s="5" t="n">
        <f aca="false">IF(D116=0,0,_xlfn.MAXIFS('Pickup log'!$H$2:$H$225,'Pickup log'!$K$2:$K$225,A116,'Pickup log'!$D$2:$D$225,B116,'Pickup log'!$G$2:$G$225,C116))</f>
        <v>0</v>
      </c>
      <c r="F116" s="5" t="n">
        <f aca="false">IF(D116=0,0,2*E116+Notes!$B$25*(D116-1))</f>
        <v>0</v>
      </c>
      <c r="G116" s="14" t="n">
        <f aca="false">IF(C116="Matador",F116/Notes!$B$21*Notes!$B$22,F116/Notes!$B$23*Notes!$B$24)</f>
        <v>0</v>
      </c>
      <c r="H116" s="5" t="n">
        <f aca="false">COUNTIFS('Pickup log'!$K$2:$K$225,A116,'Pickup log'!$D$2:$D$225,B116,'Pickup log'!$G$2:$G$225,C116,'Pickup log'!$E$2:$E$225,"Economy")</f>
        <v>0</v>
      </c>
      <c r="I116" s="5" t="n">
        <f aca="false">IF(H116=0,0,_xlfn.MAXIFS('Pickup log'!$H$2:$H$225,'Pickup log'!$K$2:$K$225,A116,'Pickup log'!$D$2:$D$225,B116,'Pickup log'!$G$2:$G$225,C116,'Pickup log'!$E$2:$E$225,"Economy"))</f>
        <v>0</v>
      </c>
      <c r="J116" s="5" t="n">
        <f aca="false">IF(H116=0,0,2*I116+Notes!$B$25*(H116-1))</f>
        <v>0</v>
      </c>
      <c r="K116" s="14" t="n">
        <f aca="false">IF(C116="Matador",J116/Notes!$B$21*Notes!$B$22,J116/Notes!$B$23*Notes!$B$24)</f>
        <v>0</v>
      </c>
    </row>
    <row r="117" customFormat="false" ht="15" hidden="false" customHeight="false" outlineLevel="0" collapsed="false">
      <c r="A117" s="12" t="n">
        <v>45430</v>
      </c>
      <c r="B117" s="5" t="s">
        <v>90</v>
      </c>
      <c r="C117" s="5" t="s">
        <v>151</v>
      </c>
      <c r="D117" s="5" t="n">
        <f aca="false">COUNTIFS('Pickup log'!$K$2:$K$225,A117,'Pickup log'!$D$2:$D$225,B117,'Pickup log'!$G$2:$G$225,C117)</f>
        <v>3</v>
      </c>
      <c r="E117" s="5" t="n">
        <f aca="false">IF(D117=0,0,_xlfn.MAXIFS('Pickup log'!$H$2:$H$225,'Pickup log'!$K$2:$K$225,A117,'Pickup log'!$D$2:$D$225,B117,'Pickup log'!$G$2:$G$225,C117))</f>
        <v>6.5</v>
      </c>
      <c r="F117" s="5" t="n">
        <f aca="false">IF(D117=0,0,2*E117+Notes!$B$25*(D117-1))</f>
        <v>17</v>
      </c>
      <c r="G117" s="14" t="n">
        <f aca="false">IF(C117="Matador",F117/Notes!$B$21*Notes!$B$22,F117/Notes!$B$23*Notes!$B$24)</f>
        <v>91.300625</v>
      </c>
      <c r="H117" s="5" t="n">
        <f aca="false">COUNTIFS('Pickup log'!$K$2:$K$225,A117,'Pickup log'!$D$2:$D$225,B117,'Pickup log'!$G$2:$G$225,C117,'Pickup log'!$E$2:$E$225,"Economy")</f>
        <v>2</v>
      </c>
      <c r="I117" s="5" t="n">
        <f aca="false">IF(H117=0,0,_xlfn.MAXIFS('Pickup log'!$H$2:$H$225,'Pickup log'!$K$2:$K$225,A117,'Pickup log'!$D$2:$D$225,B117,'Pickup log'!$G$2:$G$225,C117,'Pickup log'!$E$2:$E$225,"Economy"))</f>
        <v>6.5</v>
      </c>
      <c r="J117" s="5" t="n">
        <f aca="false">IF(H117=0,0,2*I117+Notes!$B$25*(H117-1))</f>
        <v>15</v>
      </c>
      <c r="K117" s="14" t="n">
        <f aca="false">IF(C117="Matador",J117/Notes!$B$21*Notes!$B$22,J117/Notes!$B$23*Notes!$B$24)</f>
        <v>80.559375</v>
      </c>
    </row>
    <row r="118" customFormat="false" ht="15" hidden="false" customHeight="false" outlineLevel="0" collapsed="false">
      <c r="A118" s="12" t="n">
        <v>45430</v>
      </c>
      <c r="B118" s="5" t="s">
        <v>101</v>
      </c>
      <c r="C118" s="5" t="s">
        <v>150</v>
      </c>
      <c r="D118" s="5" t="n">
        <f aca="false">COUNTIFS('Pickup log'!$K$2:$K$225,A118,'Pickup log'!$D$2:$D$225,B118,'Pickup log'!$G$2:$G$225,C118)</f>
        <v>2</v>
      </c>
      <c r="E118" s="5" t="n">
        <f aca="false">IF(D118=0,0,_xlfn.MAXIFS('Pickup log'!$H$2:$H$225,'Pickup log'!$K$2:$K$225,A118,'Pickup log'!$D$2:$D$225,B118,'Pickup log'!$G$2:$G$225,C118))</f>
        <v>14.5</v>
      </c>
      <c r="F118" s="5" t="n">
        <f aca="false">IF(D118=0,0,2*E118+Notes!$B$25*(D118-1))</f>
        <v>31</v>
      </c>
      <c r="G118" s="14" t="n">
        <f aca="false">IF(C118="Matador",F118/Notes!$B$21*Notes!$B$22,F118/Notes!$B$23*Notes!$B$24)</f>
        <v>68.7786666666667</v>
      </c>
      <c r="H118" s="5" t="n">
        <f aca="false">COUNTIFS('Pickup log'!$K$2:$K$225,A118,'Pickup log'!$D$2:$D$225,B118,'Pickup log'!$G$2:$G$225,C118,'Pickup log'!$E$2:$E$225,"Economy")</f>
        <v>1</v>
      </c>
      <c r="I118" s="5" t="n">
        <f aca="false">IF(H118=0,0,_xlfn.MAXIFS('Pickup log'!$H$2:$H$225,'Pickup log'!$K$2:$K$225,A118,'Pickup log'!$D$2:$D$225,B118,'Pickup log'!$G$2:$G$225,C118,'Pickup log'!$E$2:$E$225,"Economy"))</f>
        <v>14.5</v>
      </c>
      <c r="J118" s="5" t="n">
        <f aca="false">IF(H118=0,0,2*I118+Notes!$B$25*(H118-1))</f>
        <v>29</v>
      </c>
      <c r="K118" s="14" t="n">
        <f aca="false">IF(C118="Matador",J118/Notes!$B$21*Notes!$B$22,J118/Notes!$B$23*Notes!$B$24)</f>
        <v>64.3413333333333</v>
      </c>
    </row>
    <row r="119" customFormat="false" ht="15" hidden="false" customHeight="false" outlineLevel="0" collapsed="false">
      <c r="A119" s="12" t="n">
        <v>45430</v>
      </c>
      <c r="B119" s="5" t="s">
        <v>101</v>
      </c>
      <c r="C119" s="5" t="s">
        <v>151</v>
      </c>
      <c r="D119" s="5" t="n">
        <f aca="false">COUNTIFS('Pickup log'!$K$2:$K$225,A119,'Pickup log'!$D$2:$D$225,B119,'Pickup log'!$G$2:$G$225,C119)</f>
        <v>0</v>
      </c>
      <c r="E119" s="5" t="n">
        <f aca="false">IF(D119=0,0,_xlfn.MAXIFS('Pickup log'!$H$2:$H$225,'Pickup log'!$K$2:$K$225,A119,'Pickup log'!$D$2:$D$225,B119,'Pickup log'!$G$2:$G$225,C119))</f>
        <v>0</v>
      </c>
      <c r="F119" s="5" t="n">
        <f aca="false">IF(D119=0,0,2*E119+Notes!$B$25*(D119-1))</f>
        <v>0</v>
      </c>
      <c r="G119" s="14" t="n">
        <f aca="false">IF(C119="Matador",F119/Notes!$B$21*Notes!$B$22,F119/Notes!$B$23*Notes!$B$24)</f>
        <v>0</v>
      </c>
      <c r="H119" s="5" t="n">
        <f aca="false">COUNTIFS('Pickup log'!$K$2:$K$225,A119,'Pickup log'!$D$2:$D$225,B119,'Pickup log'!$G$2:$G$225,C119,'Pickup log'!$E$2:$E$225,"Economy")</f>
        <v>0</v>
      </c>
      <c r="I119" s="5" t="n">
        <f aca="false">IF(H119=0,0,_xlfn.MAXIFS('Pickup log'!$H$2:$H$225,'Pickup log'!$K$2:$K$225,A119,'Pickup log'!$D$2:$D$225,B119,'Pickup log'!$G$2:$G$225,C119,'Pickup log'!$E$2:$E$225,"Economy"))</f>
        <v>0</v>
      </c>
      <c r="J119" s="5" t="n">
        <f aca="false">IF(H119=0,0,2*I119+Notes!$B$25*(H119-1))</f>
        <v>0</v>
      </c>
      <c r="K119" s="14" t="n">
        <f aca="false">IF(C119="Matador",J119/Notes!$B$21*Notes!$B$22,J119/Notes!$B$23*Notes!$B$24)</f>
        <v>0</v>
      </c>
    </row>
    <row r="120" customFormat="false" ht="15" hidden="false" customHeight="false" outlineLevel="0" collapsed="false">
      <c r="A120" s="12" t="n">
        <v>45430</v>
      </c>
      <c r="B120" s="5" t="s">
        <v>114</v>
      </c>
      <c r="C120" s="5" t="s">
        <v>150</v>
      </c>
      <c r="D120" s="5" t="n">
        <f aca="false">COUNTIFS('Pickup log'!$K$2:$K$225,A120,'Pickup log'!$D$2:$D$225,B120,'Pickup log'!$G$2:$G$225,C120)</f>
        <v>2</v>
      </c>
      <c r="E120" s="5" t="n">
        <f aca="false">IF(D120=0,0,_xlfn.MAXIFS('Pickup log'!$H$2:$H$225,'Pickup log'!$K$2:$K$225,A120,'Pickup log'!$D$2:$D$225,B120,'Pickup log'!$G$2:$G$225,C120))</f>
        <v>24</v>
      </c>
      <c r="F120" s="5" t="n">
        <f aca="false">IF(D120=0,0,2*E120+Notes!$B$25*(D120-1))</f>
        <v>50</v>
      </c>
      <c r="G120" s="14" t="n">
        <f aca="false">IF(C120="Matador",F120/Notes!$B$21*Notes!$B$22,F120/Notes!$B$23*Notes!$B$24)</f>
        <v>110.933333333333</v>
      </c>
      <c r="H120" s="5" t="n">
        <f aca="false">COUNTIFS('Pickup log'!$K$2:$K$225,A120,'Pickup log'!$D$2:$D$225,B120,'Pickup log'!$G$2:$G$225,C120,'Pickup log'!$E$2:$E$225,"Economy")</f>
        <v>1</v>
      </c>
      <c r="I120" s="5" t="n">
        <f aca="false">IF(H120=0,0,_xlfn.MAXIFS('Pickup log'!$H$2:$H$225,'Pickup log'!$K$2:$K$225,A120,'Pickup log'!$D$2:$D$225,B120,'Pickup log'!$G$2:$G$225,C120,'Pickup log'!$E$2:$E$225,"Economy"))</f>
        <v>10</v>
      </c>
      <c r="J120" s="5" t="n">
        <f aca="false">IF(H120=0,0,2*I120+Notes!$B$25*(H120-1))</f>
        <v>20</v>
      </c>
      <c r="K120" s="14" t="n">
        <f aca="false">IF(C120="Matador",J120/Notes!$B$21*Notes!$B$22,J120/Notes!$B$23*Notes!$B$24)</f>
        <v>44.3733333333333</v>
      </c>
    </row>
    <row r="121" customFormat="false" ht="15" hidden="false" customHeight="false" outlineLevel="0" collapsed="false">
      <c r="A121" s="12" t="n">
        <v>45430</v>
      </c>
      <c r="B121" s="5" t="s">
        <v>114</v>
      </c>
      <c r="C121" s="5" t="s">
        <v>151</v>
      </c>
      <c r="D121" s="5" t="n">
        <f aca="false">COUNTIFS('Pickup log'!$K$2:$K$225,A121,'Pickup log'!$D$2:$D$225,B121,'Pickup log'!$G$2:$G$225,C121)</f>
        <v>0</v>
      </c>
      <c r="E121" s="5" t="n">
        <f aca="false">IF(D121=0,0,_xlfn.MAXIFS('Pickup log'!$H$2:$H$225,'Pickup log'!$K$2:$K$225,A121,'Pickup log'!$D$2:$D$225,B121,'Pickup log'!$G$2:$G$225,C121))</f>
        <v>0</v>
      </c>
      <c r="F121" s="5" t="n">
        <f aca="false">IF(D121=0,0,2*E121+Notes!$B$25*(D121-1))</f>
        <v>0</v>
      </c>
      <c r="G121" s="14" t="n">
        <f aca="false">IF(C121="Matador",F121/Notes!$B$21*Notes!$B$22,F121/Notes!$B$23*Notes!$B$24)</f>
        <v>0</v>
      </c>
      <c r="H121" s="5" t="n">
        <f aca="false">COUNTIFS('Pickup log'!$K$2:$K$225,A121,'Pickup log'!$D$2:$D$225,B121,'Pickup log'!$G$2:$G$225,C121,'Pickup log'!$E$2:$E$225,"Economy")</f>
        <v>0</v>
      </c>
      <c r="I121" s="5" t="n">
        <f aca="false">IF(H121=0,0,_xlfn.MAXIFS('Pickup log'!$H$2:$H$225,'Pickup log'!$K$2:$K$225,A121,'Pickup log'!$D$2:$D$225,B121,'Pickup log'!$G$2:$G$225,C121,'Pickup log'!$E$2:$E$225,"Economy"))</f>
        <v>0</v>
      </c>
      <c r="J121" s="5" t="n">
        <f aca="false">IF(H121=0,0,2*I121+Notes!$B$25*(H121-1))</f>
        <v>0</v>
      </c>
      <c r="K121" s="14" t="n">
        <f aca="false">IF(C121="Matador",J121/Notes!$B$21*Notes!$B$22,J121/Notes!$B$23*Notes!$B$24)</f>
        <v>0</v>
      </c>
    </row>
    <row r="122" customFormat="false" ht="15" hidden="false" customHeight="false" outlineLevel="0" collapsed="false">
      <c r="A122" s="12" t="n">
        <v>45432</v>
      </c>
      <c r="B122" s="5" t="s">
        <v>56</v>
      </c>
      <c r="C122" s="5" t="s">
        <v>150</v>
      </c>
      <c r="D122" s="5" t="n">
        <f aca="false">COUNTIFS('Pickup log'!$K$2:$K$225,A122,'Pickup log'!$D$2:$D$225,B122,'Pickup log'!$G$2:$G$225,C122)</f>
        <v>0</v>
      </c>
      <c r="E122" s="5" t="n">
        <f aca="false">IF(D122=0,0,_xlfn.MAXIFS('Pickup log'!$H$2:$H$225,'Pickup log'!$K$2:$K$225,A122,'Pickup log'!$D$2:$D$225,B122,'Pickup log'!$G$2:$G$225,C122))</f>
        <v>0</v>
      </c>
      <c r="F122" s="5" t="n">
        <f aca="false">IF(D122=0,0,2*E122+Notes!$B$25*(D122-1))</f>
        <v>0</v>
      </c>
      <c r="G122" s="14" t="n">
        <f aca="false">IF(C122="Matador",F122/Notes!$B$21*Notes!$B$22,F122/Notes!$B$23*Notes!$B$24)</f>
        <v>0</v>
      </c>
      <c r="H122" s="5" t="n">
        <f aca="false">COUNTIFS('Pickup log'!$K$2:$K$225,A122,'Pickup log'!$D$2:$D$225,B122,'Pickup log'!$G$2:$G$225,C122,'Pickup log'!$E$2:$E$225,"Economy")</f>
        <v>0</v>
      </c>
      <c r="I122" s="5" t="n">
        <f aca="false">IF(H122=0,0,_xlfn.MAXIFS('Pickup log'!$H$2:$H$225,'Pickup log'!$K$2:$K$225,A122,'Pickup log'!$D$2:$D$225,B122,'Pickup log'!$G$2:$G$225,C122,'Pickup log'!$E$2:$E$225,"Economy"))</f>
        <v>0</v>
      </c>
      <c r="J122" s="5" t="n">
        <f aca="false">IF(H122=0,0,2*I122+Notes!$B$25*(H122-1))</f>
        <v>0</v>
      </c>
      <c r="K122" s="14" t="n">
        <f aca="false">IF(C122="Matador",J122/Notes!$B$21*Notes!$B$22,J122/Notes!$B$23*Notes!$B$24)</f>
        <v>0</v>
      </c>
    </row>
    <row r="123" customFormat="false" ht="15" hidden="false" customHeight="false" outlineLevel="0" collapsed="false">
      <c r="A123" s="12" t="n">
        <v>45432</v>
      </c>
      <c r="B123" s="5" t="s">
        <v>56</v>
      </c>
      <c r="C123" s="5" t="s">
        <v>151</v>
      </c>
      <c r="D123" s="5" t="n">
        <f aca="false">COUNTIFS('Pickup log'!$K$2:$K$225,A123,'Pickup log'!$D$2:$D$225,B123,'Pickup log'!$G$2:$G$225,C123)</f>
        <v>0</v>
      </c>
      <c r="E123" s="5" t="n">
        <f aca="false">IF(D123=0,0,_xlfn.MAXIFS('Pickup log'!$H$2:$H$225,'Pickup log'!$K$2:$K$225,A123,'Pickup log'!$D$2:$D$225,B123,'Pickup log'!$G$2:$G$225,C123))</f>
        <v>0</v>
      </c>
      <c r="F123" s="5" t="n">
        <f aca="false">IF(D123=0,0,2*E123+Notes!$B$25*(D123-1))</f>
        <v>0</v>
      </c>
      <c r="G123" s="14" t="n">
        <f aca="false">IF(C123="Matador",F123/Notes!$B$21*Notes!$B$22,F123/Notes!$B$23*Notes!$B$24)</f>
        <v>0</v>
      </c>
      <c r="H123" s="5" t="n">
        <f aca="false">COUNTIFS('Pickup log'!$K$2:$K$225,A123,'Pickup log'!$D$2:$D$225,B123,'Pickup log'!$G$2:$G$225,C123,'Pickup log'!$E$2:$E$225,"Economy")</f>
        <v>0</v>
      </c>
      <c r="I123" s="5" t="n">
        <f aca="false">IF(H123=0,0,_xlfn.MAXIFS('Pickup log'!$H$2:$H$225,'Pickup log'!$K$2:$K$225,A123,'Pickup log'!$D$2:$D$225,B123,'Pickup log'!$G$2:$G$225,C123,'Pickup log'!$E$2:$E$225,"Economy"))</f>
        <v>0</v>
      </c>
      <c r="J123" s="5" t="n">
        <f aca="false">IF(H123=0,0,2*I123+Notes!$B$25*(H123-1))</f>
        <v>0</v>
      </c>
      <c r="K123" s="14" t="n">
        <f aca="false">IF(C123="Matador",J123/Notes!$B$21*Notes!$B$22,J123/Notes!$B$23*Notes!$B$24)</f>
        <v>0</v>
      </c>
    </row>
    <row r="124" customFormat="false" ht="15" hidden="false" customHeight="false" outlineLevel="0" collapsed="false">
      <c r="A124" s="12" t="n">
        <v>45432</v>
      </c>
      <c r="B124" s="5" t="s">
        <v>73</v>
      </c>
      <c r="C124" s="5" t="s">
        <v>150</v>
      </c>
      <c r="D124" s="5" t="n">
        <f aca="false">COUNTIFS('Pickup log'!$K$2:$K$225,A124,'Pickup log'!$D$2:$D$225,B124,'Pickup log'!$G$2:$G$225,C124)</f>
        <v>1</v>
      </c>
      <c r="E124" s="5" t="n">
        <f aca="false">IF(D124=0,0,_xlfn.MAXIFS('Pickup log'!$H$2:$H$225,'Pickup log'!$K$2:$K$225,A124,'Pickup log'!$D$2:$D$225,B124,'Pickup log'!$G$2:$G$225,C124))</f>
        <v>2.5</v>
      </c>
      <c r="F124" s="5" t="n">
        <f aca="false">IF(D124=0,0,2*E124+Notes!$B$25*(D124-1))</f>
        <v>5</v>
      </c>
      <c r="G124" s="14" t="n">
        <f aca="false">IF(C124="Matador",F124/Notes!$B$21*Notes!$B$22,F124/Notes!$B$23*Notes!$B$24)</f>
        <v>11.0933333333333</v>
      </c>
      <c r="H124" s="5" t="n">
        <f aca="false">COUNTIFS('Pickup log'!$K$2:$K$225,A124,'Pickup log'!$D$2:$D$225,B124,'Pickup log'!$G$2:$G$225,C124,'Pickup log'!$E$2:$E$225,"Economy")</f>
        <v>0</v>
      </c>
      <c r="I124" s="5" t="n">
        <f aca="false">IF(H124=0,0,_xlfn.MAXIFS('Pickup log'!$H$2:$H$225,'Pickup log'!$K$2:$K$225,A124,'Pickup log'!$D$2:$D$225,B124,'Pickup log'!$G$2:$G$225,C124,'Pickup log'!$E$2:$E$225,"Economy"))</f>
        <v>0</v>
      </c>
      <c r="J124" s="5" t="n">
        <f aca="false">IF(H124=0,0,2*I124+Notes!$B$25*(H124-1))</f>
        <v>0</v>
      </c>
      <c r="K124" s="14" t="n">
        <f aca="false">IF(C124="Matador",J124/Notes!$B$21*Notes!$B$22,J124/Notes!$B$23*Notes!$B$24)</f>
        <v>0</v>
      </c>
    </row>
    <row r="125" customFormat="false" ht="15" hidden="false" customHeight="false" outlineLevel="0" collapsed="false">
      <c r="A125" s="12" t="n">
        <v>45432</v>
      </c>
      <c r="B125" s="5" t="s">
        <v>73</v>
      </c>
      <c r="C125" s="5" t="s">
        <v>151</v>
      </c>
      <c r="D125" s="5" t="n">
        <f aca="false">COUNTIFS('Pickup log'!$K$2:$K$225,A125,'Pickup log'!$D$2:$D$225,B125,'Pickup log'!$G$2:$G$225,C125)</f>
        <v>1</v>
      </c>
      <c r="E125" s="5" t="n">
        <f aca="false">IF(D125=0,0,_xlfn.MAXIFS('Pickup log'!$H$2:$H$225,'Pickup log'!$K$2:$K$225,A125,'Pickup log'!$D$2:$D$225,B125,'Pickup log'!$G$2:$G$225,C125))</f>
        <v>7</v>
      </c>
      <c r="F125" s="5" t="n">
        <f aca="false">IF(D125=0,0,2*E125+Notes!$B$25*(D125-1))</f>
        <v>14</v>
      </c>
      <c r="G125" s="14" t="n">
        <f aca="false">IF(C125="Matador",F125/Notes!$B$21*Notes!$B$22,F125/Notes!$B$23*Notes!$B$24)</f>
        <v>75.18875</v>
      </c>
      <c r="H125" s="5" t="n">
        <f aca="false">COUNTIFS('Pickup log'!$K$2:$K$225,A125,'Pickup log'!$D$2:$D$225,B125,'Pickup log'!$G$2:$G$225,C125,'Pickup log'!$E$2:$E$225,"Economy")</f>
        <v>1</v>
      </c>
      <c r="I125" s="5" t="n">
        <f aca="false">IF(H125=0,0,_xlfn.MAXIFS('Pickup log'!$H$2:$H$225,'Pickup log'!$K$2:$K$225,A125,'Pickup log'!$D$2:$D$225,B125,'Pickup log'!$G$2:$G$225,C125,'Pickup log'!$E$2:$E$225,"Economy"))</f>
        <v>7</v>
      </c>
      <c r="J125" s="5" t="n">
        <f aca="false">IF(H125=0,0,2*I125+Notes!$B$25*(H125-1))</f>
        <v>14</v>
      </c>
      <c r="K125" s="14" t="n">
        <f aca="false">IF(C125="Matador",J125/Notes!$B$21*Notes!$B$22,J125/Notes!$B$23*Notes!$B$24)</f>
        <v>75.18875</v>
      </c>
    </row>
    <row r="126" customFormat="false" ht="15" hidden="false" customHeight="false" outlineLevel="0" collapsed="false">
      <c r="A126" s="12" t="n">
        <v>45432</v>
      </c>
      <c r="B126" s="5" t="s">
        <v>90</v>
      </c>
      <c r="C126" s="5" t="s">
        <v>150</v>
      </c>
      <c r="D126" s="5" t="n">
        <f aca="false">COUNTIFS('Pickup log'!$K$2:$K$225,A126,'Pickup log'!$D$2:$D$225,B126,'Pickup log'!$G$2:$G$225,C126)</f>
        <v>0</v>
      </c>
      <c r="E126" s="5" t="n">
        <f aca="false">IF(D126=0,0,_xlfn.MAXIFS('Pickup log'!$H$2:$H$225,'Pickup log'!$K$2:$K$225,A126,'Pickup log'!$D$2:$D$225,B126,'Pickup log'!$G$2:$G$225,C126))</f>
        <v>0</v>
      </c>
      <c r="F126" s="5" t="n">
        <f aca="false">IF(D126=0,0,2*E126+Notes!$B$25*(D126-1))</f>
        <v>0</v>
      </c>
      <c r="G126" s="14" t="n">
        <f aca="false">IF(C126="Matador",F126/Notes!$B$21*Notes!$B$22,F126/Notes!$B$23*Notes!$B$24)</f>
        <v>0</v>
      </c>
      <c r="H126" s="5" t="n">
        <f aca="false">COUNTIFS('Pickup log'!$K$2:$K$225,A126,'Pickup log'!$D$2:$D$225,B126,'Pickup log'!$G$2:$G$225,C126,'Pickup log'!$E$2:$E$225,"Economy")</f>
        <v>0</v>
      </c>
      <c r="I126" s="5" t="n">
        <f aca="false">IF(H126=0,0,_xlfn.MAXIFS('Pickup log'!$H$2:$H$225,'Pickup log'!$K$2:$K$225,A126,'Pickup log'!$D$2:$D$225,B126,'Pickup log'!$G$2:$G$225,C126,'Pickup log'!$E$2:$E$225,"Economy"))</f>
        <v>0</v>
      </c>
      <c r="J126" s="5" t="n">
        <f aca="false">IF(H126=0,0,2*I126+Notes!$B$25*(H126-1))</f>
        <v>0</v>
      </c>
      <c r="K126" s="14" t="n">
        <f aca="false">IF(C126="Matador",J126/Notes!$B$21*Notes!$B$22,J126/Notes!$B$23*Notes!$B$24)</f>
        <v>0</v>
      </c>
    </row>
    <row r="127" customFormat="false" ht="15" hidden="false" customHeight="false" outlineLevel="0" collapsed="false">
      <c r="A127" s="12" t="n">
        <v>45432</v>
      </c>
      <c r="B127" s="5" t="s">
        <v>90</v>
      </c>
      <c r="C127" s="5" t="s">
        <v>151</v>
      </c>
      <c r="D127" s="5" t="n">
        <f aca="false">COUNTIFS('Pickup log'!$K$2:$K$225,A127,'Pickup log'!$D$2:$D$225,B127,'Pickup log'!$G$2:$G$225,C127)</f>
        <v>0</v>
      </c>
      <c r="E127" s="5" t="n">
        <f aca="false">IF(D127=0,0,_xlfn.MAXIFS('Pickup log'!$H$2:$H$225,'Pickup log'!$K$2:$K$225,A127,'Pickup log'!$D$2:$D$225,B127,'Pickup log'!$G$2:$G$225,C127))</f>
        <v>0</v>
      </c>
      <c r="F127" s="5" t="n">
        <f aca="false">IF(D127=0,0,2*E127+Notes!$B$25*(D127-1))</f>
        <v>0</v>
      </c>
      <c r="G127" s="14" t="n">
        <f aca="false">IF(C127="Matador",F127/Notes!$B$21*Notes!$B$22,F127/Notes!$B$23*Notes!$B$24)</f>
        <v>0</v>
      </c>
      <c r="H127" s="5" t="n">
        <f aca="false">COUNTIFS('Pickup log'!$K$2:$K$225,A127,'Pickup log'!$D$2:$D$225,B127,'Pickup log'!$G$2:$G$225,C127,'Pickup log'!$E$2:$E$225,"Economy")</f>
        <v>0</v>
      </c>
      <c r="I127" s="5" t="n">
        <f aca="false">IF(H127=0,0,_xlfn.MAXIFS('Pickup log'!$H$2:$H$225,'Pickup log'!$K$2:$K$225,A127,'Pickup log'!$D$2:$D$225,B127,'Pickup log'!$G$2:$G$225,C127,'Pickup log'!$E$2:$E$225,"Economy"))</f>
        <v>0</v>
      </c>
      <c r="J127" s="5" t="n">
        <f aca="false">IF(H127=0,0,2*I127+Notes!$B$25*(H127-1))</f>
        <v>0</v>
      </c>
      <c r="K127" s="14" t="n">
        <f aca="false">IF(C127="Matador",J127/Notes!$B$21*Notes!$B$22,J127/Notes!$B$23*Notes!$B$24)</f>
        <v>0</v>
      </c>
    </row>
    <row r="128" customFormat="false" ht="15" hidden="false" customHeight="false" outlineLevel="0" collapsed="false">
      <c r="A128" s="12" t="n">
        <v>45432</v>
      </c>
      <c r="B128" s="5" t="s">
        <v>101</v>
      </c>
      <c r="C128" s="5" t="s">
        <v>150</v>
      </c>
      <c r="D128" s="5" t="n">
        <f aca="false">COUNTIFS('Pickup log'!$K$2:$K$225,A128,'Pickup log'!$D$2:$D$225,B128,'Pickup log'!$G$2:$G$225,C128)</f>
        <v>1</v>
      </c>
      <c r="E128" s="5" t="n">
        <f aca="false">IF(D128=0,0,_xlfn.MAXIFS('Pickup log'!$H$2:$H$225,'Pickup log'!$K$2:$K$225,A128,'Pickup log'!$D$2:$D$225,B128,'Pickup log'!$G$2:$G$225,C128))</f>
        <v>6.5</v>
      </c>
      <c r="F128" s="5" t="n">
        <f aca="false">IF(D128=0,0,2*E128+Notes!$B$25*(D128-1))</f>
        <v>13</v>
      </c>
      <c r="G128" s="14" t="n">
        <f aca="false">IF(C128="Matador",F128/Notes!$B$21*Notes!$B$22,F128/Notes!$B$23*Notes!$B$24)</f>
        <v>28.8426666666667</v>
      </c>
      <c r="H128" s="5" t="n">
        <f aca="false">COUNTIFS('Pickup log'!$K$2:$K$225,A128,'Pickup log'!$D$2:$D$225,B128,'Pickup log'!$G$2:$G$225,C128,'Pickup log'!$E$2:$E$225,"Economy")</f>
        <v>1</v>
      </c>
      <c r="I128" s="5" t="n">
        <f aca="false">IF(H128=0,0,_xlfn.MAXIFS('Pickup log'!$H$2:$H$225,'Pickup log'!$K$2:$K$225,A128,'Pickup log'!$D$2:$D$225,B128,'Pickup log'!$G$2:$G$225,C128,'Pickup log'!$E$2:$E$225,"Economy"))</f>
        <v>6.5</v>
      </c>
      <c r="J128" s="5" t="n">
        <f aca="false">IF(H128=0,0,2*I128+Notes!$B$25*(H128-1))</f>
        <v>13</v>
      </c>
      <c r="K128" s="14" t="n">
        <f aca="false">IF(C128="Matador",J128/Notes!$B$21*Notes!$B$22,J128/Notes!$B$23*Notes!$B$24)</f>
        <v>28.8426666666667</v>
      </c>
    </row>
    <row r="129" customFormat="false" ht="15" hidden="false" customHeight="false" outlineLevel="0" collapsed="false">
      <c r="A129" s="12" t="n">
        <v>45432</v>
      </c>
      <c r="B129" s="5" t="s">
        <v>101</v>
      </c>
      <c r="C129" s="5" t="s">
        <v>151</v>
      </c>
      <c r="D129" s="5" t="n">
        <f aca="false">COUNTIFS('Pickup log'!$K$2:$K$225,A129,'Pickup log'!$D$2:$D$225,B129,'Pickup log'!$G$2:$G$225,C129)</f>
        <v>1</v>
      </c>
      <c r="E129" s="5" t="n">
        <f aca="false">IF(D129=0,0,_xlfn.MAXIFS('Pickup log'!$H$2:$H$225,'Pickup log'!$K$2:$K$225,A129,'Pickup log'!$D$2:$D$225,B129,'Pickup log'!$G$2:$G$225,C129))</f>
        <v>10.5</v>
      </c>
      <c r="F129" s="5" t="n">
        <f aca="false">IF(D129=0,0,2*E129+Notes!$B$25*(D129-1))</f>
        <v>21</v>
      </c>
      <c r="G129" s="14" t="n">
        <f aca="false">IF(C129="Matador",F129/Notes!$B$21*Notes!$B$22,F129/Notes!$B$23*Notes!$B$24)</f>
        <v>112.783125</v>
      </c>
      <c r="H129" s="5" t="n">
        <f aca="false">COUNTIFS('Pickup log'!$K$2:$K$225,A129,'Pickup log'!$D$2:$D$225,B129,'Pickup log'!$G$2:$G$225,C129,'Pickup log'!$E$2:$E$225,"Economy")</f>
        <v>1</v>
      </c>
      <c r="I129" s="5" t="n">
        <f aca="false">IF(H129=0,0,_xlfn.MAXIFS('Pickup log'!$H$2:$H$225,'Pickup log'!$K$2:$K$225,A129,'Pickup log'!$D$2:$D$225,B129,'Pickup log'!$G$2:$G$225,C129,'Pickup log'!$E$2:$E$225,"Economy"))</f>
        <v>10.5</v>
      </c>
      <c r="J129" s="5" t="n">
        <f aca="false">IF(H129=0,0,2*I129+Notes!$B$25*(H129-1))</f>
        <v>21</v>
      </c>
      <c r="K129" s="14" t="n">
        <f aca="false">IF(C129="Matador",J129/Notes!$B$21*Notes!$B$22,J129/Notes!$B$23*Notes!$B$24)</f>
        <v>112.783125</v>
      </c>
    </row>
    <row r="130" customFormat="false" ht="15" hidden="false" customHeight="false" outlineLevel="0" collapsed="false">
      <c r="A130" s="12" t="n">
        <v>45432</v>
      </c>
      <c r="B130" s="5" t="s">
        <v>114</v>
      </c>
      <c r="C130" s="5" t="s">
        <v>150</v>
      </c>
      <c r="D130" s="5" t="n">
        <f aca="false">COUNTIFS('Pickup log'!$K$2:$K$225,A130,'Pickup log'!$D$2:$D$225,B130,'Pickup log'!$G$2:$G$225,C130)</f>
        <v>1</v>
      </c>
      <c r="E130" s="5" t="n">
        <f aca="false">IF(D130=0,0,_xlfn.MAXIFS('Pickup log'!$H$2:$H$225,'Pickup log'!$K$2:$K$225,A130,'Pickup log'!$D$2:$D$225,B130,'Pickup log'!$G$2:$G$225,C130))</f>
        <v>14.5</v>
      </c>
      <c r="F130" s="5" t="n">
        <f aca="false">IF(D130=0,0,2*E130+Notes!$B$25*(D130-1))</f>
        <v>29</v>
      </c>
      <c r="G130" s="14" t="n">
        <f aca="false">IF(C130="Matador",F130/Notes!$B$21*Notes!$B$22,F130/Notes!$B$23*Notes!$B$24)</f>
        <v>64.3413333333333</v>
      </c>
      <c r="H130" s="5" t="n">
        <f aca="false">COUNTIFS('Pickup log'!$K$2:$K$225,A130,'Pickup log'!$D$2:$D$225,B130,'Pickup log'!$G$2:$G$225,C130,'Pickup log'!$E$2:$E$225,"Economy")</f>
        <v>0</v>
      </c>
      <c r="I130" s="5" t="n">
        <f aca="false">IF(H130=0,0,_xlfn.MAXIFS('Pickup log'!$H$2:$H$225,'Pickup log'!$K$2:$K$225,A130,'Pickup log'!$D$2:$D$225,B130,'Pickup log'!$G$2:$G$225,C130,'Pickup log'!$E$2:$E$225,"Economy"))</f>
        <v>0</v>
      </c>
      <c r="J130" s="5" t="n">
        <f aca="false">IF(H130=0,0,2*I130+Notes!$B$25*(H130-1))</f>
        <v>0</v>
      </c>
      <c r="K130" s="14" t="n">
        <f aca="false">IF(C130="Matador",J130/Notes!$B$21*Notes!$B$22,J130/Notes!$B$23*Notes!$B$24)</f>
        <v>0</v>
      </c>
    </row>
    <row r="131" customFormat="false" ht="15" hidden="false" customHeight="false" outlineLevel="0" collapsed="false">
      <c r="A131" s="12" t="n">
        <v>45432</v>
      </c>
      <c r="B131" s="5" t="s">
        <v>114</v>
      </c>
      <c r="C131" s="5" t="s">
        <v>151</v>
      </c>
      <c r="D131" s="5" t="n">
        <f aca="false">COUNTIFS('Pickup log'!$K$2:$K$225,A131,'Pickup log'!$D$2:$D$225,B131,'Pickup log'!$G$2:$G$225,C131)</f>
        <v>0</v>
      </c>
      <c r="E131" s="5" t="n">
        <f aca="false">IF(D131=0,0,_xlfn.MAXIFS('Pickup log'!$H$2:$H$225,'Pickup log'!$K$2:$K$225,A131,'Pickup log'!$D$2:$D$225,B131,'Pickup log'!$G$2:$G$225,C131))</f>
        <v>0</v>
      </c>
      <c r="F131" s="5" t="n">
        <f aca="false">IF(D131=0,0,2*E131+Notes!$B$25*(D131-1))</f>
        <v>0</v>
      </c>
      <c r="G131" s="14" t="n">
        <f aca="false">IF(C131="Matador",F131/Notes!$B$21*Notes!$B$22,F131/Notes!$B$23*Notes!$B$24)</f>
        <v>0</v>
      </c>
      <c r="H131" s="5" t="n">
        <f aca="false">COUNTIFS('Pickup log'!$K$2:$K$225,A131,'Pickup log'!$D$2:$D$225,B131,'Pickup log'!$G$2:$G$225,C131,'Pickup log'!$E$2:$E$225,"Economy")</f>
        <v>0</v>
      </c>
      <c r="I131" s="5" t="n">
        <f aca="false">IF(H131=0,0,_xlfn.MAXIFS('Pickup log'!$H$2:$H$225,'Pickup log'!$K$2:$K$225,A131,'Pickup log'!$D$2:$D$225,B131,'Pickup log'!$G$2:$G$225,C131,'Pickup log'!$E$2:$E$225,"Economy"))</f>
        <v>0</v>
      </c>
      <c r="J131" s="5" t="n">
        <f aca="false">IF(H131=0,0,2*I131+Notes!$B$25*(H131-1))</f>
        <v>0</v>
      </c>
      <c r="K131" s="14" t="n">
        <f aca="false">IF(C131="Matador",J131/Notes!$B$21*Notes!$B$22,J131/Notes!$B$23*Notes!$B$24)</f>
        <v>0</v>
      </c>
    </row>
    <row r="132" customFormat="false" ht="15" hidden="false" customHeight="false" outlineLevel="0" collapsed="false">
      <c r="A132" s="12" t="n">
        <v>45433</v>
      </c>
      <c r="B132" s="5" t="s">
        <v>56</v>
      </c>
      <c r="C132" s="5" t="s">
        <v>150</v>
      </c>
      <c r="D132" s="5" t="n">
        <f aca="false">COUNTIFS('Pickup log'!$K$2:$K$225,A132,'Pickup log'!$D$2:$D$225,B132,'Pickup log'!$G$2:$G$225,C132)</f>
        <v>2</v>
      </c>
      <c r="E132" s="5" t="n">
        <f aca="false">IF(D132=0,0,_xlfn.MAXIFS('Pickup log'!$H$2:$H$225,'Pickup log'!$K$2:$K$225,A132,'Pickup log'!$D$2:$D$225,B132,'Pickup log'!$G$2:$G$225,C132))</f>
        <v>3</v>
      </c>
      <c r="F132" s="5" t="n">
        <f aca="false">IF(D132=0,0,2*E132+Notes!$B$25*(D132-1))</f>
        <v>8</v>
      </c>
      <c r="G132" s="14" t="n">
        <f aca="false">IF(C132="Matador",F132/Notes!$B$21*Notes!$B$22,F132/Notes!$B$23*Notes!$B$24)</f>
        <v>17.7493333333333</v>
      </c>
      <c r="H132" s="5" t="n">
        <f aca="false">COUNTIFS('Pickup log'!$K$2:$K$225,A132,'Pickup log'!$D$2:$D$225,B132,'Pickup log'!$G$2:$G$225,C132,'Pickup log'!$E$2:$E$225,"Economy")</f>
        <v>1</v>
      </c>
      <c r="I132" s="5" t="n">
        <f aca="false">IF(H132=0,0,_xlfn.MAXIFS('Pickup log'!$H$2:$H$225,'Pickup log'!$K$2:$K$225,A132,'Pickup log'!$D$2:$D$225,B132,'Pickup log'!$G$2:$G$225,C132,'Pickup log'!$E$2:$E$225,"Economy"))</f>
        <v>3</v>
      </c>
      <c r="J132" s="5" t="n">
        <f aca="false">IF(H132=0,0,2*I132+Notes!$B$25*(H132-1))</f>
        <v>6</v>
      </c>
      <c r="K132" s="14" t="n">
        <f aca="false">IF(C132="Matador",J132/Notes!$B$21*Notes!$B$22,J132/Notes!$B$23*Notes!$B$24)</f>
        <v>13.312</v>
      </c>
    </row>
    <row r="133" customFormat="false" ht="15" hidden="false" customHeight="false" outlineLevel="0" collapsed="false">
      <c r="A133" s="12" t="n">
        <v>45433</v>
      </c>
      <c r="B133" s="5" t="s">
        <v>56</v>
      </c>
      <c r="C133" s="5" t="s">
        <v>151</v>
      </c>
      <c r="D133" s="5" t="n">
        <f aca="false">COUNTIFS('Pickup log'!$K$2:$K$225,A133,'Pickup log'!$D$2:$D$225,B133,'Pickup log'!$G$2:$G$225,C133)</f>
        <v>2</v>
      </c>
      <c r="E133" s="5" t="n">
        <f aca="false">IF(D133=0,0,_xlfn.MAXIFS('Pickup log'!$H$2:$H$225,'Pickup log'!$K$2:$K$225,A133,'Pickup log'!$D$2:$D$225,B133,'Pickup log'!$G$2:$G$225,C133))</f>
        <v>6</v>
      </c>
      <c r="F133" s="5" t="n">
        <f aca="false">IF(D133=0,0,2*E133+Notes!$B$25*(D133-1))</f>
        <v>14</v>
      </c>
      <c r="G133" s="14" t="n">
        <f aca="false">IF(C133="Matador",F133/Notes!$B$21*Notes!$B$22,F133/Notes!$B$23*Notes!$B$24)</f>
        <v>75.18875</v>
      </c>
      <c r="H133" s="5" t="n">
        <f aca="false">COUNTIFS('Pickup log'!$K$2:$K$225,A133,'Pickup log'!$D$2:$D$225,B133,'Pickup log'!$G$2:$G$225,C133,'Pickup log'!$E$2:$E$225,"Economy")</f>
        <v>2</v>
      </c>
      <c r="I133" s="5" t="n">
        <f aca="false">IF(H133=0,0,_xlfn.MAXIFS('Pickup log'!$H$2:$H$225,'Pickup log'!$K$2:$K$225,A133,'Pickup log'!$D$2:$D$225,B133,'Pickup log'!$G$2:$G$225,C133,'Pickup log'!$E$2:$E$225,"Economy"))</f>
        <v>6</v>
      </c>
      <c r="J133" s="5" t="n">
        <f aca="false">IF(H133=0,0,2*I133+Notes!$B$25*(H133-1))</f>
        <v>14</v>
      </c>
      <c r="K133" s="14" t="n">
        <f aca="false">IF(C133="Matador",J133/Notes!$B$21*Notes!$B$22,J133/Notes!$B$23*Notes!$B$24)</f>
        <v>75.18875</v>
      </c>
    </row>
    <row r="134" customFormat="false" ht="15" hidden="false" customHeight="false" outlineLevel="0" collapsed="false">
      <c r="A134" s="12" t="n">
        <v>45433</v>
      </c>
      <c r="B134" s="5" t="s">
        <v>73</v>
      </c>
      <c r="C134" s="5" t="s">
        <v>150</v>
      </c>
      <c r="D134" s="5" t="n">
        <f aca="false">COUNTIFS('Pickup log'!$K$2:$K$225,A134,'Pickup log'!$D$2:$D$225,B134,'Pickup log'!$G$2:$G$225,C134)</f>
        <v>2</v>
      </c>
      <c r="E134" s="5" t="n">
        <f aca="false">IF(D134=0,0,_xlfn.MAXIFS('Pickup log'!$H$2:$H$225,'Pickup log'!$K$2:$K$225,A134,'Pickup log'!$D$2:$D$225,B134,'Pickup log'!$G$2:$G$225,C134))</f>
        <v>4.5</v>
      </c>
      <c r="F134" s="5" t="n">
        <f aca="false">IF(D134=0,0,2*E134+Notes!$B$25*(D134-1))</f>
        <v>11</v>
      </c>
      <c r="G134" s="14" t="n">
        <f aca="false">IF(C134="Matador",F134/Notes!$B$21*Notes!$B$22,F134/Notes!$B$23*Notes!$B$24)</f>
        <v>24.4053333333333</v>
      </c>
      <c r="H134" s="5" t="n">
        <f aca="false">COUNTIFS('Pickup log'!$K$2:$K$225,A134,'Pickup log'!$D$2:$D$225,B134,'Pickup log'!$G$2:$G$225,C134,'Pickup log'!$E$2:$E$225,"Economy")</f>
        <v>2</v>
      </c>
      <c r="I134" s="5" t="n">
        <f aca="false">IF(H134=0,0,_xlfn.MAXIFS('Pickup log'!$H$2:$H$225,'Pickup log'!$K$2:$K$225,A134,'Pickup log'!$D$2:$D$225,B134,'Pickup log'!$G$2:$G$225,C134,'Pickup log'!$E$2:$E$225,"Economy"))</f>
        <v>4.5</v>
      </c>
      <c r="J134" s="5" t="n">
        <f aca="false">IF(H134=0,0,2*I134+Notes!$B$25*(H134-1))</f>
        <v>11</v>
      </c>
      <c r="K134" s="14" t="n">
        <f aca="false">IF(C134="Matador",J134/Notes!$B$21*Notes!$B$22,J134/Notes!$B$23*Notes!$B$24)</f>
        <v>24.4053333333333</v>
      </c>
    </row>
    <row r="135" customFormat="false" ht="15" hidden="false" customHeight="false" outlineLevel="0" collapsed="false">
      <c r="A135" s="12" t="n">
        <v>45433</v>
      </c>
      <c r="B135" s="5" t="s">
        <v>73</v>
      </c>
      <c r="C135" s="5" t="s">
        <v>151</v>
      </c>
      <c r="D135" s="5" t="n">
        <f aca="false">COUNTIFS('Pickup log'!$K$2:$K$225,A135,'Pickup log'!$D$2:$D$225,B135,'Pickup log'!$G$2:$G$225,C135)</f>
        <v>1</v>
      </c>
      <c r="E135" s="5" t="n">
        <f aca="false">IF(D135=0,0,_xlfn.MAXIFS('Pickup log'!$H$2:$H$225,'Pickup log'!$K$2:$K$225,A135,'Pickup log'!$D$2:$D$225,B135,'Pickup log'!$G$2:$G$225,C135))</f>
        <v>7</v>
      </c>
      <c r="F135" s="5" t="n">
        <f aca="false">IF(D135=0,0,2*E135+Notes!$B$25*(D135-1))</f>
        <v>14</v>
      </c>
      <c r="G135" s="14" t="n">
        <f aca="false">IF(C135="Matador",F135/Notes!$B$21*Notes!$B$22,F135/Notes!$B$23*Notes!$B$24)</f>
        <v>75.18875</v>
      </c>
      <c r="H135" s="5" t="n">
        <f aca="false">COUNTIFS('Pickup log'!$K$2:$K$225,A135,'Pickup log'!$D$2:$D$225,B135,'Pickup log'!$G$2:$G$225,C135,'Pickup log'!$E$2:$E$225,"Economy")</f>
        <v>1</v>
      </c>
      <c r="I135" s="5" t="n">
        <f aca="false">IF(H135=0,0,_xlfn.MAXIFS('Pickup log'!$H$2:$H$225,'Pickup log'!$K$2:$K$225,A135,'Pickup log'!$D$2:$D$225,B135,'Pickup log'!$G$2:$G$225,C135,'Pickup log'!$E$2:$E$225,"Economy"))</f>
        <v>7</v>
      </c>
      <c r="J135" s="5" t="n">
        <f aca="false">IF(H135=0,0,2*I135+Notes!$B$25*(H135-1))</f>
        <v>14</v>
      </c>
      <c r="K135" s="14" t="n">
        <f aca="false">IF(C135="Matador",J135/Notes!$B$21*Notes!$B$22,J135/Notes!$B$23*Notes!$B$24)</f>
        <v>75.18875</v>
      </c>
    </row>
    <row r="136" customFormat="false" ht="15" hidden="false" customHeight="false" outlineLevel="0" collapsed="false">
      <c r="A136" s="12" t="n">
        <v>45433</v>
      </c>
      <c r="B136" s="5" t="s">
        <v>90</v>
      </c>
      <c r="C136" s="5" t="s">
        <v>150</v>
      </c>
      <c r="D136" s="5" t="n">
        <f aca="false">COUNTIFS('Pickup log'!$K$2:$K$225,A136,'Pickup log'!$D$2:$D$225,B136,'Pickup log'!$G$2:$G$225,C136)</f>
        <v>0</v>
      </c>
      <c r="E136" s="5" t="n">
        <f aca="false">IF(D136=0,0,_xlfn.MAXIFS('Pickup log'!$H$2:$H$225,'Pickup log'!$K$2:$K$225,A136,'Pickup log'!$D$2:$D$225,B136,'Pickup log'!$G$2:$G$225,C136))</f>
        <v>0</v>
      </c>
      <c r="F136" s="5" t="n">
        <f aca="false">IF(D136=0,0,2*E136+Notes!$B$25*(D136-1))</f>
        <v>0</v>
      </c>
      <c r="G136" s="14" t="n">
        <f aca="false">IF(C136="Matador",F136/Notes!$B$21*Notes!$B$22,F136/Notes!$B$23*Notes!$B$24)</f>
        <v>0</v>
      </c>
      <c r="H136" s="5" t="n">
        <f aca="false">COUNTIFS('Pickup log'!$K$2:$K$225,A136,'Pickup log'!$D$2:$D$225,B136,'Pickup log'!$G$2:$G$225,C136,'Pickup log'!$E$2:$E$225,"Economy")</f>
        <v>0</v>
      </c>
      <c r="I136" s="5" t="n">
        <f aca="false">IF(H136=0,0,_xlfn.MAXIFS('Pickup log'!$H$2:$H$225,'Pickup log'!$K$2:$K$225,A136,'Pickup log'!$D$2:$D$225,B136,'Pickup log'!$G$2:$G$225,C136,'Pickup log'!$E$2:$E$225,"Economy"))</f>
        <v>0</v>
      </c>
      <c r="J136" s="5" t="n">
        <f aca="false">IF(H136=0,0,2*I136+Notes!$B$25*(H136-1))</f>
        <v>0</v>
      </c>
      <c r="K136" s="14" t="n">
        <f aca="false">IF(C136="Matador",J136/Notes!$B$21*Notes!$B$22,J136/Notes!$B$23*Notes!$B$24)</f>
        <v>0</v>
      </c>
    </row>
    <row r="137" customFormat="false" ht="15" hidden="false" customHeight="false" outlineLevel="0" collapsed="false">
      <c r="A137" s="12" t="n">
        <v>45433</v>
      </c>
      <c r="B137" s="5" t="s">
        <v>90</v>
      </c>
      <c r="C137" s="5" t="s">
        <v>151</v>
      </c>
      <c r="D137" s="5" t="n">
        <f aca="false">COUNTIFS('Pickup log'!$K$2:$K$225,A137,'Pickup log'!$D$2:$D$225,B137,'Pickup log'!$G$2:$G$225,C137)</f>
        <v>0</v>
      </c>
      <c r="E137" s="5" t="n">
        <f aca="false">IF(D137=0,0,_xlfn.MAXIFS('Pickup log'!$H$2:$H$225,'Pickup log'!$K$2:$K$225,A137,'Pickup log'!$D$2:$D$225,B137,'Pickup log'!$G$2:$G$225,C137))</f>
        <v>0</v>
      </c>
      <c r="F137" s="5" t="n">
        <f aca="false">IF(D137=0,0,2*E137+Notes!$B$25*(D137-1))</f>
        <v>0</v>
      </c>
      <c r="G137" s="14" t="n">
        <f aca="false">IF(C137="Matador",F137/Notes!$B$21*Notes!$B$22,F137/Notes!$B$23*Notes!$B$24)</f>
        <v>0</v>
      </c>
      <c r="H137" s="5" t="n">
        <f aca="false">COUNTIFS('Pickup log'!$K$2:$K$225,A137,'Pickup log'!$D$2:$D$225,B137,'Pickup log'!$G$2:$G$225,C137,'Pickup log'!$E$2:$E$225,"Economy")</f>
        <v>0</v>
      </c>
      <c r="I137" s="5" t="n">
        <f aca="false">IF(H137=0,0,_xlfn.MAXIFS('Pickup log'!$H$2:$H$225,'Pickup log'!$K$2:$K$225,A137,'Pickup log'!$D$2:$D$225,B137,'Pickup log'!$G$2:$G$225,C137,'Pickup log'!$E$2:$E$225,"Economy"))</f>
        <v>0</v>
      </c>
      <c r="J137" s="5" t="n">
        <f aca="false">IF(H137=0,0,2*I137+Notes!$B$25*(H137-1))</f>
        <v>0</v>
      </c>
      <c r="K137" s="14" t="n">
        <f aca="false">IF(C137="Matador",J137/Notes!$B$21*Notes!$B$22,J137/Notes!$B$23*Notes!$B$24)</f>
        <v>0</v>
      </c>
    </row>
    <row r="138" customFormat="false" ht="15" hidden="false" customHeight="false" outlineLevel="0" collapsed="false">
      <c r="A138" s="12" t="n">
        <v>45433</v>
      </c>
      <c r="B138" s="5" t="s">
        <v>101</v>
      </c>
      <c r="C138" s="5" t="s">
        <v>150</v>
      </c>
      <c r="D138" s="5" t="n">
        <f aca="false">COUNTIFS('Pickup log'!$K$2:$K$225,A138,'Pickup log'!$D$2:$D$225,B138,'Pickup log'!$G$2:$G$225,C138)</f>
        <v>1</v>
      </c>
      <c r="E138" s="5" t="n">
        <f aca="false">IF(D138=0,0,_xlfn.MAXIFS('Pickup log'!$H$2:$H$225,'Pickup log'!$K$2:$K$225,A138,'Pickup log'!$D$2:$D$225,B138,'Pickup log'!$G$2:$G$225,C138))</f>
        <v>6.5</v>
      </c>
      <c r="F138" s="5" t="n">
        <f aca="false">IF(D138=0,0,2*E138+Notes!$B$25*(D138-1))</f>
        <v>13</v>
      </c>
      <c r="G138" s="14" t="n">
        <f aca="false">IF(C138="Matador",F138/Notes!$B$21*Notes!$B$22,F138/Notes!$B$23*Notes!$B$24)</f>
        <v>28.8426666666667</v>
      </c>
      <c r="H138" s="5" t="n">
        <f aca="false">COUNTIFS('Pickup log'!$K$2:$K$225,A138,'Pickup log'!$D$2:$D$225,B138,'Pickup log'!$G$2:$G$225,C138,'Pickup log'!$E$2:$E$225,"Economy")</f>
        <v>0</v>
      </c>
      <c r="I138" s="5" t="n">
        <f aca="false">IF(H138=0,0,_xlfn.MAXIFS('Pickup log'!$H$2:$H$225,'Pickup log'!$K$2:$K$225,A138,'Pickup log'!$D$2:$D$225,B138,'Pickup log'!$G$2:$G$225,C138,'Pickup log'!$E$2:$E$225,"Economy"))</f>
        <v>0</v>
      </c>
      <c r="J138" s="5" t="n">
        <f aca="false">IF(H138=0,0,2*I138+Notes!$B$25*(H138-1))</f>
        <v>0</v>
      </c>
      <c r="K138" s="14" t="n">
        <f aca="false">IF(C138="Matador",J138/Notes!$B$21*Notes!$B$22,J138/Notes!$B$23*Notes!$B$24)</f>
        <v>0</v>
      </c>
    </row>
    <row r="139" customFormat="false" ht="15" hidden="false" customHeight="false" outlineLevel="0" collapsed="false">
      <c r="A139" s="12" t="n">
        <v>45433</v>
      </c>
      <c r="B139" s="5" t="s">
        <v>101</v>
      </c>
      <c r="C139" s="5" t="s">
        <v>151</v>
      </c>
      <c r="D139" s="5" t="n">
        <f aca="false">COUNTIFS('Pickup log'!$K$2:$K$225,A139,'Pickup log'!$D$2:$D$225,B139,'Pickup log'!$G$2:$G$225,C139)</f>
        <v>0</v>
      </c>
      <c r="E139" s="5" t="n">
        <f aca="false">IF(D139=0,0,_xlfn.MAXIFS('Pickup log'!$H$2:$H$225,'Pickup log'!$K$2:$K$225,A139,'Pickup log'!$D$2:$D$225,B139,'Pickup log'!$G$2:$G$225,C139))</f>
        <v>0</v>
      </c>
      <c r="F139" s="5" t="n">
        <f aca="false">IF(D139=0,0,2*E139+Notes!$B$25*(D139-1))</f>
        <v>0</v>
      </c>
      <c r="G139" s="14" t="n">
        <f aca="false">IF(C139="Matador",F139/Notes!$B$21*Notes!$B$22,F139/Notes!$B$23*Notes!$B$24)</f>
        <v>0</v>
      </c>
      <c r="H139" s="5" t="n">
        <f aca="false">COUNTIFS('Pickup log'!$K$2:$K$225,A139,'Pickup log'!$D$2:$D$225,B139,'Pickup log'!$G$2:$G$225,C139,'Pickup log'!$E$2:$E$225,"Economy")</f>
        <v>0</v>
      </c>
      <c r="I139" s="5" t="n">
        <f aca="false">IF(H139=0,0,_xlfn.MAXIFS('Pickup log'!$H$2:$H$225,'Pickup log'!$K$2:$K$225,A139,'Pickup log'!$D$2:$D$225,B139,'Pickup log'!$G$2:$G$225,C139,'Pickup log'!$E$2:$E$225,"Economy"))</f>
        <v>0</v>
      </c>
      <c r="J139" s="5" t="n">
        <f aca="false">IF(H139=0,0,2*I139+Notes!$B$25*(H139-1))</f>
        <v>0</v>
      </c>
      <c r="K139" s="14" t="n">
        <f aca="false">IF(C139="Matador",J139/Notes!$B$21*Notes!$B$22,J139/Notes!$B$23*Notes!$B$24)</f>
        <v>0</v>
      </c>
    </row>
    <row r="140" customFormat="false" ht="15" hidden="false" customHeight="false" outlineLevel="0" collapsed="false">
      <c r="A140" s="12" t="n">
        <v>45433</v>
      </c>
      <c r="B140" s="5" t="s">
        <v>114</v>
      </c>
      <c r="C140" s="5" t="s">
        <v>150</v>
      </c>
      <c r="D140" s="5" t="n">
        <f aca="false">COUNTIFS('Pickup log'!$K$2:$K$225,A140,'Pickup log'!$D$2:$D$225,B140,'Pickup log'!$G$2:$G$225,C140)</f>
        <v>1</v>
      </c>
      <c r="E140" s="5" t="n">
        <f aca="false">IF(D140=0,0,_xlfn.MAXIFS('Pickup log'!$H$2:$H$225,'Pickup log'!$K$2:$K$225,A140,'Pickup log'!$D$2:$D$225,B140,'Pickup log'!$G$2:$G$225,C140))</f>
        <v>24</v>
      </c>
      <c r="F140" s="5" t="n">
        <f aca="false">IF(D140=0,0,2*E140+Notes!$B$25*(D140-1))</f>
        <v>48</v>
      </c>
      <c r="G140" s="14" t="n">
        <f aca="false">IF(C140="Matador",F140/Notes!$B$21*Notes!$B$22,F140/Notes!$B$23*Notes!$B$24)</f>
        <v>106.496</v>
      </c>
      <c r="H140" s="5" t="n">
        <f aca="false">COUNTIFS('Pickup log'!$K$2:$K$225,A140,'Pickup log'!$D$2:$D$225,B140,'Pickup log'!$G$2:$G$225,C140,'Pickup log'!$E$2:$E$225,"Economy")</f>
        <v>0</v>
      </c>
      <c r="I140" s="5" t="n">
        <f aca="false">IF(H140=0,0,_xlfn.MAXIFS('Pickup log'!$H$2:$H$225,'Pickup log'!$K$2:$K$225,A140,'Pickup log'!$D$2:$D$225,B140,'Pickup log'!$G$2:$G$225,C140,'Pickup log'!$E$2:$E$225,"Economy"))</f>
        <v>0</v>
      </c>
      <c r="J140" s="5" t="n">
        <f aca="false">IF(H140=0,0,2*I140+Notes!$B$25*(H140-1))</f>
        <v>0</v>
      </c>
      <c r="K140" s="14" t="n">
        <f aca="false">IF(C140="Matador",J140/Notes!$B$21*Notes!$B$22,J140/Notes!$B$23*Notes!$B$24)</f>
        <v>0</v>
      </c>
    </row>
    <row r="141" customFormat="false" ht="15" hidden="false" customHeight="false" outlineLevel="0" collapsed="false">
      <c r="A141" s="12" t="n">
        <v>45433</v>
      </c>
      <c r="B141" s="5" t="s">
        <v>114</v>
      </c>
      <c r="C141" s="5" t="s">
        <v>151</v>
      </c>
      <c r="D141" s="5" t="n">
        <f aca="false">COUNTIFS('Pickup log'!$K$2:$K$225,A141,'Pickup log'!$D$2:$D$225,B141,'Pickup log'!$G$2:$G$225,C141)</f>
        <v>1</v>
      </c>
      <c r="E141" s="5" t="n">
        <f aca="false">IF(D141=0,0,_xlfn.MAXIFS('Pickup log'!$H$2:$H$225,'Pickup log'!$K$2:$K$225,A141,'Pickup log'!$D$2:$D$225,B141,'Pickup log'!$G$2:$G$225,C141))</f>
        <v>10</v>
      </c>
      <c r="F141" s="5" t="n">
        <f aca="false">IF(D141=0,0,2*E141+Notes!$B$25*(D141-1))</f>
        <v>20</v>
      </c>
      <c r="G141" s="14" t="n">
        <f aca="false">IF(C141="Matador",F141/Notes!$B$21*Notes!$B$22,F141/Notes!$B$23*Notes!$B$24)</f>
        <v>107.4125</v>
      </c>
      <c r="H141" s="5" t="n">
        <f aca="false">COUNTIFS('Pickup log'!$K$2:$K$225,A141,'Pickup log'!$D$2:$D$225,B141,'Pickup log'!$G$2:$G$225,C141,'Pickup log'!$E$2:$E$225,"Economy")</f>
        <v>0</v>
      </c>
      <c r="I141" s="5" t="n">
        <f aca="false">IF(H141=0,0,_xlfn.MAXIFS('Pickup log'!$H$2:$H$225,'Pickup log'!$K$2:$K$225,A141,'Pickup log'!$D$2:$D$225,B141,'Pickup log'!$G$2:$G$225,C141,'Pickup log'!$E$2:$E$225,"Economy"))</f>
        <v>0</v>
      </c>
      <c r="J141" s="5" t="n">
        <f aca="false">IF(H141=0,0,2*I141+Notes!$B$25*(H141-1))</f>
        <v>0</v>
      </c>
      <c r="K141" s="14" t="n">
        <f aca="false">IF(C141="Matador",J141/Notes!$B$21*Notes!$B$22,J141/Notes!$B$23*Notes!$B$24)</f>
        <v>0</v>
      </c>
    </row>
    <row r="142" customFormat="false" ht="15" hidden="false" customHeight="false" outlineLevel="0" collapsed="false">
      <c r="A142" s="12" t="n">
        <v>45434</v>
      </c>
      <c r="B142" s="5" t="s">
        <v>56</v>
      </c>
      <c r="C142" s="5" t="s">
        <v>150</v>
      </c>
      <c r="D142" s="5" t="n">
        <f aca="false">COUNTIFS('Pickup log'!$K$2:$K$225,A142,'Pickup log'!$D$2:$D$225,B142,'Pickup log'!$G$2:$G$225,C142)</f>
        <v>2</v>
      </c>
      <c r="E142" s="5" t="n">
        <f aca="false">IF(D142=0,0,_xlfn.MAXIFS('Pickup log'!$H$2:$H$225,'Pickup log'!$K$2:$K$225,A142,'Pickup log'!$D$2:$D$225,B142,'Pickup log'!$G$2:$G$225,C142))</f>
        <v>2</v>
      </c>
      <c r="F142" s="5" t="n">
        <f aca="false">IF(D142=0,0,2*E142+Notes!$B$25*(D142-1))</f>
        <v>6</v>
      </c>
      <c r="G142" s="14" t="n">
        <f aca="false">IF(C142="Matador",F142/Notes!$B$21*Notes!$B$22,F142/Notes!$B$23*Notes!$B$24)</f>
        <v>13.312</v>
      </c>
      <c r="H142" s="5" t="n">
        <f aca="false">COUNTIFS('Pickup log'!$K$2:$K$225,A142,'Pickup log'!$D$2:$D$225,B142,'Pickup log'!$G$2:$G$225,C142,'Pickup log'!$E$2:$E$225,"Economy")</f>
        <v>0</v>
      </c>
      <c r="I142" s="5" t="n">
        <f aca="false">IF(H142=0,0,_xlfn.MAXIFS('Pickup log'!$H$2:$H$225,'Pickup log'!$K$2:$K$225,A142,'Pickup log'!$D$2:$D$225,B142,'Pickup log'!$G$2:$G$225,C142,'Pickup log'!$E$2:$E$225,"Economy"))</f>
        <v>0</v>
      </c>
      <c r="J142" s="5" t="n">
        <f aca="false">IF(H142=0,0,2*I142+Notes!$B$25*(H142-1))</f>
        <v>0</v>
      </c>
      <c r="K142" s="14" t="n">
        <f aca="false">IF(C142="Matador",J142/Notes!$B$21*Notes!$B$22,J142/Notes!$B$23*Notes!$B$24)</f>
        <v>0</v>
      </c>
    </row>
    <row r="143" customFormat="false" ht="15" hidden="false" customHeight="false" outlineLevel="0" collapsed="false">
      <c r="A143" s="12" t="n">
        <v>45434</v>
      </c>
      <c r="B143" s="5" t="s">
        <v>56</v>
      </c>
      <c r="C143" s="5" t="s">
        <v>151</v>
      </c>
      <c r="D143" s="5" t="n">
        <f aca="false">COUNTIFS('Pickup log'!$K$2:$K$225,A143,'Pickup log'!$D$2:$D$225,B143,'Pickup log'!$G$2:$G$225,C143)</f>
        <v>0</v>
      </c>
      <c r="E143" s="5" t="n">
        <f aca="false">IF(D143=0,0,_xlfn.MAXIFS('Pickup log'!$H$2:$H$225,'Pickup log'!$K$2:$K$225,A143,'Pickup log'!$D$2:$D$225,B143,'Pickup log'!$G$2:$G$225,C143))</f>
        <v>0</v>
      </c>
      <c r="F143" s="5" t="n">
        <f aca="false">IF(D143=0,0,2*E143+Notes!$B$25*(D143-1))</f>
        <v>0</v>
      </c>
      <c r="G143" s="14" t="n">
        <f aca="false">IF(C143="Matador",F143/Notes!$B$21*Notes!$B$22,F143/Notes!$B$23*Notes!$B$24)</f>
        <v>0</v>
      </c>
      <c r="H143" s="5" t="n">
        <f aca="false">COUNTIFS('Pickup log'!$K$2:$K$225,A143,'Pickup log'!$D$2:$D$225,B143,'Pickup log'!$G$2:$G$225,C143,'Pickup log'!$E$2:$E$225,"Economy")</f>
        <v>0</v>
      </c>
      <c r="I143" s="5" t="n">
        <f aca="false">IF(H143=0,0,_xlfn.MAXIFS('Pickup log'!$H$2:$H$225,'Pickup log'!$K$2:$K$225,A143,'Pickup log'!$D$2:$D$225,B143,'Pickup log'!$G$2:$G$225,C143,'Pickup log'!$E$2:$E$225,"Economy"))</f>
        <v>0</v>
      </c>
      <c r="J143" s="5" t="n">
        <f aca="false">IF(H143=0,0,2*I143+Notes!$B$25*(H143-1))</f>
        <v>0</v>
      </c>
      <c r="K143" s="14" t="n">
        <f aca="false">IF(C143="Matador",J143/Notes!$B$21*Notes!$B$22,J143/Notes!$B$23*Notes!$B$24)</f>
        <v>0</v>
      </c>
    </row>
    <row r="144" customFormat="false" ht="15" hidden="false" customHeight="false" outlineLevel="0" collapsed="false">
      <c r="A144" s="12" t="n">
        <v>45434</v>
      </c>
      <c r="B144" s="5" t="s">
        <v>73</v>
      </c>
      <c r="C144" s="5" t="s">
        <v>150</v>
      </c>
      <c r="D144" s="5" t="n">
        <f aca="false">COUNTIFS('Pickup log'!$K$2:$K$225,A144,'Pickup log'!$D$2:$D$225,B144,'Pickup log'!$G$2:$G$225,C144)</f>
        <v>2</v>
      </c>
      <c r="E144" s="5" t="n">
        <f aca="false">IF(D144=0,0,_xlfn.MAXIFS('Pickup log'!$H$2:$H$225,'Pickup log'!$K$2:$K$225,A144,'Pickup log'!$D$2:$D$225,B144,'Pickup log'!$G$2:$G$225,C144))</f>
        <v>11.5</v>
      </c>
      <c r="F144" s="5" t="n">
        <f aca="false">IF(D144=0,0,2*E144+Notes!$B$25*(D144-1))</f>
        <v>25</v>
      </c>
      <c r="G144" s="14" t="n">
        <f aca="false">IF(C144="Matador",F144/Notes!$B$21*Notes!$B$22,F144/Notes!$B$23*Notes!$B$24)</f>
        <v>55.4666666666667</v>
      </c>
      <c r="H144" s="5" t="n">
        <f aca="false">COUNTIFS('Pickup log'!$K$2:$K$225,A144,'Pickup log'!$D$2:$D$225,B144,'Pickup log'!$G$2:$G$225,C144,'Pickup log'!$E$2:$E$225,"Economy")</f>
        <v>1</v>
      </c>
      <c r="I144" s="5" t="n">
        <f aca="false">IF(H144=0,0,_xlfn.MAXIFS('Pickup log'!$H$2:$H$225,'Pickup log'!$K$2:$K$225,A144,'Pickup log'!$D$2:$D$225,B144,'Pickup log'!$G$2:$G$225,C144,'Pickup log'!$E$2:$E$225,"Economy"))</f>
        <v>11.5</v>
      </c>
      <c r="J144" s="5" t="n">
        <f aca="false">IF(H144=0,0,2*I144+Notes!$B$25*(H144-1))</f>
        <v>23</v>
      </c>
      <c r="K144" s="14" t="n">
        <f aca="false">IF(C144="Matador",J144/Notes!$B$21*Notes!$B$22,J144/Notes!$B$23*Notes!$B$24)</f>
        <v>51.0293333333333</v>
      </c>
    </row>
    <row r="145" customFormat="false" ht="15" hidden="false" customHeight="false" outlineLevel="0" collapsed="false">
      <c r="A145" s="12" t="n">
        <v>45434</v>
      </c>
      <c r="B145" s="5" t="s">
        <v>73</v>
      </c>
      <c r="C145" s="5" t="s">
        <v>151</v>
      </c>
      <c r="D145" s="5" t="n">
        <f aca="false">COUNTIFS('Pickup log'!$K$2:$K$225,A145,'Pickup log'!$D$2:$D$225,B145,'Pickup log'!$G$2:$G$225,C145)</f>
        <v>4</v>
      </c>
      <c r="E145" s="5" t="n">
        <f aca="false">IF(D145=0,0,_xlfn.MAXIFS('Pickup log'!$H$2:$H$225,'Pickup log'!$K$2:$K$225,A145,'Pickup log'!$D$2:$D$225,B145,'Pickup log'!$G$2:$G$225,C145))</f>
        <v>9</v>
      </c>
      <c r="F145" s="5" t="n">
        <f aca="false">IF(D145=0,0,2*E145+Notes!$B$25*(D145-1))</f>
        <v>24</v>
      </c>
      <c r="G145" s="14" t="n">
        <f aca="false">IF(C145="Matador",F145/Notes!$B$21*Notes!$B$22,F145/Notes!$B$23*Notes!$B$24)</f>
        <v>128.895</v>
      </c>
      <c r="H145" s="5" t="n">
        <f aca="false">COUNTIFS('Pickup log'!$K$2:$K$225,A145,'Pickup log'!$D$2:$D$225,B145,'Pickup log'!$G$2:$G$225,C145,'Pickup log'!$E$2:$E$225,"Economy")</f>
        <v>2</v>
      </c>
      <c r="I145" s="5" t="n">
        <f aca="false">IF(H145=0,0,_xlfn.MAXIFS('Pickup log'!$H$2:$H$225,'Pickup log'!$K$2:$K$225,A145,'Pickup log'!$D$2:$D$225,B145,'Pickup log'!$G$2:$G$225,C145,'Pickup log'!$E$2:$E$225,"Economy"))</f>
        <v>9</v>
      </c>
      <c r="J145" s="5" t="n">
        <f aca="false">IF(H145=0,0,2*I145+Notes!$B$25*(H145-1))</f>
        <v>20</v>
      </c>
      <c r="K145" s="14" t="n">
        <f aca="false">IF(C145="Matador",J145/Notes!$B$21*Notes!$B$22,J145/Notes!$B$23*Notes!$B$24)</f>
        <v>107.4125</v>
      </c>
    </row>
    <row r="146" customFormat="false" ht="15" hidden="false" customHeight="false" outlineLevel="0" collapsed="false">
      <c r="A146" s="12" t="n">
        <v>45434</v>
      </c>
      <c r="B146" s="5" t="s">
        <v>90</v>
      </c>
      <c r="C146" s="5" t="s">
        <v>150</v>
      </c>
      <c r="D146" s="5" t="n">
        <f aca="false">COUNTIFS('Pickup log'!$K$2:$K$225,A146,'Pickup log'!$D$2:$D$225,B146,'Pickup log'!$G$2:$G$225,C146)</f>
        <v>3</v>
      </c>
      <c r="E146" s="5" t="n">
        <f aca="false">IF(D146=0,0,_xlfn.MAXIFS('Pickup log'!$H$2:$H$225,'Pickup log'!$K$2:$K$225,A146,'Pickup log'!$D$2:$D$225,B146,'Pickup log'!$G$2:$G$225,C146))</f>
        <v>13.5</v>
      </c>
      <c r="F146" s="5" t="n">
        <f aca="false">IF(D146=0,0,2*E146+Notes!$B$25*(D146-1))</f>
        <v>31</v>
      </c>
      <c r="G146" s="14" t="n">
        <f aca="false">IF(C146="Matador",F146/Notes!$B$21*Notes!$B$22,F146/Notes!$B$23*Notes!$B$24)</f>
        <v>68.7786666666667</v>
      </c>
      <c r="H146" s="5" t="n">
        <f aca="false">COUNTIFS('Pickup log'!$K$2:$K$225,A146,'Pickup log'!$D$2:$D$225,B146,'Pickup log'!$G$2:$G$225,C146,'Pickup log'!$E$2:$E$225,"Economy")</f>
        <v>3</v>
      </c>
      <c r="I146" s="5" t="n">
        <f aca="false">IF(H146=0,0,_xlfn.MAXIFS('Pickup log'!$H$2:$H$225,'Pickup log'!$K$2:$K$225,A146,'Pickup log'!$D$2:$D$225,B146,'Pickup log'!$G$2:$G$225,C146,'Pickup log'!$E$2:$E$225,"Economy"))</f>
        <v>13.5</v>
      </c>
      <c r="J146" s="5" t="n">
        <f aca="false">IF(H146=0,0,2*I146+Notes!$B$25*(H146-1))</f>
        <v>31</v>
      </c>
      <c r="K146" s="14" t="n">
        <f aca="false">IF(C146="Matador",J146/Notes!$B$21*Notes!$B$22,J146/Notes!$B$23*Notes!$B$24)</f>
        <v>68.7786666666667</v>
      </c>
    </row>
    <row r="147" customFormat="false" ht="15" hidden="false" customHeight="false" outlineLevel="0" collapsed="false">
      <c r="A147" s="12" t="n">
        <v>45434</v>
      </c>
      <c r="B147" s="5" t="s">
        <v>90</v>
      </c>
      <c r="C147" s="5" t="s">
        <v>151</v>
      </c>
      <c r="D147" s="5" t="n">
        <f aca="false">COUNTIFS('Pickup log'!$K$2:$K$225,A147,'Pickup log'!$D$2:$D$225,B147,'Pickup log'!$G$2:$G$225,C147)</f>
        <v>1</v>
      </c>
      <c r="E147" s="5" t="n">
        <f aca="false">IF(D147=0,0,_xlfn.MAXIFS('Pickup log'!$H$2:$H$225,'Pickup log'!$K$2:$K$225,A147,'Pickup log'!$D$2:$D$225,B147,'Pickup log'!$G$2:$G$225,C147))</f>
        <v>6.5</v>
      </c>
      <c r="F147" s="5" t="n">
        <f aca="false">IF(D147=0,0,2*E147+Notes!$B$25*(D147-1))</f>
        <v>13</v>
      </c>
      <c r="G147" s="14" t="n">
        <f aca="false">IF(C147="Matador",F147/Notes!$B$21*Notes!$B$22,F147/Notes!$B$23*Notes!$B$24)</f>
        <v>69.818125</v>
      </c>
      <c r="H147" s="5" t="n">
        <f aca="false">COUNTIFS('Pickup log'!$K$2:$K$225,A147,'Pickup log'!$D$2:$D$225,B147,'Pickup log'!$G$2:$G$225,C147,'Pickup log'!$E$2:$E$225,"Economy")</f>
        <v>1</v>
      </c>
      <c r="I147" s="5" t="n">
        <f aca="false">IF(H147=0,0,_xlfn.MAXIFS('Pickup log'!$H$2:$H$225,'Pickup log'!$K$2:$K$225,A147,'Pickup log'!$D$2:$D$225,B147,'Pickup log'!$G$2:$G$225,C147,'Pickup log'!$E$2:$E$225,"Economy"))</f>
        <v>6.5</v>
      </c>
      <c r="J147" s="5" t="n">
        <f aca="false">IF(H147=0,0,2*I147+Notes!$B$25*(H147-1))</f>
        <v>13</v>
      </c>
      <c r="K147" s="14" t="n">
        <f aca="false">IF(C147="Matador",J147/Notes!$B$21*Notes!$B$22,J147/Notes!$B$23*Notes!$B$24)</f>
        <v>69.818125</v>
      </c>
    </row>
    <row r="148" customFormat="false" ht="15" hidden="false" customHeight="false" outlineLevel="0" collapsed="false">
      <c r="A148" s="12" t="n">
        <v>45434</v>
      </c>
      <c r="B148" s="5" t="s">
        <v>101</v>
      </c>
      <c r="C148" s="5" t="s">
        <v>150</v>
      </c>
      <c r="D148" s="5" t="n">
        <f aca="false">COUNTIFS('Pickup log'!$K$2:$K$225,A148,'Pickup log'!$D$2:$D$225,B148,'Pickup log'!$G$2:$G$225,C148)</f>
        <v>1</v>
      </c>
      <c r="E148" s="5" t="n">
        <f aca="false">IF(D148=0,0,_xlfn.MAXIFS('Pickup log'!$H$2:$H$225,'Pickup log'!$K$2:$K$225,A148,'Pickup log'!$D$2:$D$225,B148,'Pickup log'!$G$2:$G$225,C148))</f>
        <v>6.5</v>
      </c>
      <c r="F148" s="5" t="n">
        <f aca="false">IF(D148=0,0,2*E148+Notes!$B$25*(D148-1))</f>
        <v>13</v>
      </c>
      <c r="G148" s="14" t="n">
        <f aca="false">IF(C148="Matador",F148/Notes!$B$21*Notes!$B$22,F148/Notes!$B$23*Notes!$B$24)</f>
        <v>28.8426666666667</v>
      </c>
      <c r="H148" s="5" t="n">
        <f aca="false">COUNTIFS('Pickup log'!$K$2:$K$225,A148,'Pickup log'!$D$2:$D$225,B148,'Pickup log'!$G$2:$G$225,C148,'Pickup log'!$E$2:$E$225,"Economy")</f>
        <v>0</v>
      </c>
      <c r="I148" s="5" t="n">
        <f aca="false">IF(H148=0,0,_xlfn.MAXIFS('Pickup log'!$H$2:$H$225,'Pickup log'!$K$2:$K$225,A148,'Pickup log'!$D$2:$D$225,B148,'Pickup log'!$G$2:$G$225,C148,'Pickup log'!$E$2:$E$225,"Economy"))</f>
        <v>0</v>
      </c>
      <c r="J148" s="5" t="n">
        <f aca="false">IF(H148=0,0,2*I148+Notes!$B$25*(H148-1))</f>
        <v>0</v>
      </c>
      <c r="K148" s="14" t="n">
        <f aca="false">IF(C148="Matador",J148/Notes!$B$21*Notes!$B$22,J148/Notes!$B$23*Notes!$B$24)</f>
        <v>0</v>
      </c>
    </row>
    <row r="149" customFormat="false" ht="15" hidden="false" customHeight="false" outlineLevel="0" collapsed="false">
      <c r="A149" s="12" t="n">
        <v>45434</v>
      </c>
      <c r="B149" s="5" t="s">
        <v>101</v>
      </c>
      <c r="C149" s="5" t="s">
        <v>151</v>
      </c>
      <c r="D149" s="5" t="n">
        <f aca="false">COUNTIFS('Pickup log'!$K$2:$K$225,A149,'Pickup log'!$D$2:$D$225,B149,'Pickup log'!$G$2:$G$225,C149)</f>
        <v>0</v>
      </c>
      <c r="E149" s="5" t="n">
        <f aca="false">IF(D149=0,0,_xlfn.MAXIFS('Pickup log'!$H$2:$H$225,'Pickup log'!$K$2:$K$225,A149,'Pickup log'!$D$2:$D$225,B149,'Pickup log'!$G$2:$G$225,C149))</f>
        <v>0</v>
      </c>
      <c r="F149" s="5" t="n">
        <f aca="false">IF(D149=0,0,2*E149+Notes!$B$25*(D149-1))</f>
        <v>0</v>
      </c>
      <c r="G149" s="14" t="n">
        <f aca="false">IF(C149="Matador",F149/Notes!$B$21*Notes!$B$22,F149/Notes!$B$23*Notes!$B$24)</f>
        <v>0</v>
      </c>
      <c r="H149" s="5" t="n">
        <f aca="false">COUNTIFS('Pickup log'!$K$2:$K$225,A149,'Pickup log'!$D$2:$D$225,B149,'Pickup log'!$G$2:$G$225,C149,'Pickup log'!$E$2:$E$225,"Economy")</f>
        <v>0</v>
      </c>
      <c r="I149" s="5" t="n">
        <f aca="false">IF(H149=0,0,_xlfn.MAXIFS('Pickup log'!$H$2:$H$225,'Pickup log'!$K$2:$K$225,A149,'Pickup log'!$D$2:$D$225,B149,'Pickup log'!$G$2:$G$225,C149,'Pickup log'!$E$2:$E$225,"Economy"))</f>
        <v>0</v>
      </c>
      <c r="J149" s="5" t="n">
        <f aca="false">IF(H149=0,0,2*I149+Notes!$B$25*(H149-1))</f>
        <v>0</v>
      </c>
      <c r="K149" s="14" t="n">
        <f aca="false">IF(C149="Matador",J149/Notes!$B$21*Notes!$B$22,J149/Notes!$B$23*Notes!$B$24)</f>
        <v>0</v>
      </c>
    </row>
    <row r="150" customFormat="false" ht="15" hidden="false" customHeight="false" outlineLevel="0" collapsed="false">
      <c r="A150" s="12" t="n">
        <v>45434</v>
      </c>
      <c r="B150" s="5" t="s">
        <v>114</v>
      </c>
      <c r="C150" s="5" t="s">
        <v>150</v>
      </c>
      <c r="D150" s="5" t="n">
        <f aca="false">COUNTIFS('Pickup log'!$K$2:$K$225,A150,'Pickup log'!$D$2:$D$225,B150,'Pickup log'!$G$2:$G$225,C150)</f>
        <v>0</v>
      </c>
      <c r="E150" s="5" t="n">
        <f aca="false">IF(D150=0,0,_xlfn.MAXIFS('Pickup log'!$H$2:$H$225,'Pickup log'!$K$2:$K$225,A150,'Pickup log'!$D$2:$D$225,B150,'Pickup log'!$G$2:$G$225,C150))</f>
        <v>0</v>
      </c>
      <c r="F150" s="5" t="n">
        <f aca="false">IF(D150=0,0,2*E150+Notes!$B$25*(D150-1))</f>
        <v>0</v>
      </c>
      <c r="G150" s="14" t="n">
        <f aca="false">IF(C150="Matador",F150/Notes!$B$21*Notes!$B$22,F150/Notes!$B$23*Notes!$B$24)</f>
        <v>0</v>
      </c>
      <c r="H150" s="5" t="n">
        <f aca="false">COUNTIFS('Pickup log'!$K$2:$K$225,A150,'Pickup log'!$D$2:$D$225,B150,'Pickup log'!$G$2:$G$225,C150,'Pickup log'!$E$2:$E$225,"Economy")</f>
        <v>0</v>
      </c>
      <c r="I150" s="5" t="n">
        <f aca="false">IF(H150=0,0,_xlfn.MAXIFS('Pickup log'!$H$2:$H$225,'Pickup log'!$K$2:$K$225,A150,'Pickup log'!$D$2:$D$225,B150,'Pickup log'!$G$2:$G$225,C150,'Pickup log'!$E$2:$E$225,"Economy"))</f>
        <v>0</v>
      </c>
      <c r="J150" s="5" t="n">
        <f aca="false">IF(H150=0,0,2*I150+Notes!$B$25*(H150-1))</f>
        <v>0</v>
      </c>
      <c r="K150" s="14" t="n">
        <f aca="false">IF(C150="Matador",J150/Notes!$B$21*Notes!$B$22,J150/Notes!$B$23*Notes!$B$24)</f>
        <v>0</v>
      </c>
    </row>
    <row r="151" customFormat="false" ht="15" hidden="false" customHeight="false" outlineLevel="0" collapsed="false">
      <c r="A151" s="12" t="n">
        <v>45434</v>
      </c>
      <c r="B151" s="5" t="s">
        <v>114</v>
      </c>
      <c r="C151" s="5" t="s">
        <v>151</v>
      </c>
      <c r="D151" s="5" t="n">
        <f aca="false">COUNTIFS('Pickup log'!$K$2:$K$225,A151,'Pickup log'!$D$2:$D$225,B151,'Pickup log'!$G$2:$G$225,C151)</f>
        <v>0</v>
      </c>
      <c r="E151" s="5" t="n">
        <f aca="false">IF(D151=0,0,_xlfn.MAXIFS('Pickup log'!$H$2:$H$225,'Pickup log'!$K$2:$K$225,A151,'Pickup log'!$D$2:$D$225,B151,'Pickup log'!$G$2:$G$225,C151))</f>
        <v>0</v>
      </c>
      <c r="F151" s="5" t="n">
        <f aca="false">IF(D151=0,0,2*E151+Notes!$B$25*(D151-1))</f>
        <v>0</v>
      </c>
      <c r="G151" s="14" t="n">
        <f aca="false">IF(C151="Matador",F151/Notes!$B$21*Notes!$B$22,F151/Notes!$B$23*Notes!$B$24)</f>
        <v>0</v>
      </c>
      <c r="H151" s="5" t="n">
        <f aca="false">COUNTIFS('Pickup log'!$K$2:$K$225,A151,'Pickup log'!$D$2:$D$225,B151,'Pickup log'!$G$2:$G$225,C151,'Pickup log'!$E$2:$E$225,"Economy")</f>
        <v>0</v>
      </c>
      <c r="I151" s="5" t="n">
        <f aca="false">IF(H151=0,0,_xlfn.MAXIFS('Pickup log'!$H$2:$H$225,'Pickup log'!$K$2:$K$225,A151,'Pickup log'!$D$2:$D$225,B151,'Pickup log'!$G$2:$G$225,C151,'Pickup log'!$E$2:$E$225,"Economy"))</f>
        <v>0</v>
      </c>
      <c r="J151" s="5" t="n">
        <f aca="false">IF(H151=0,0,2*I151+Notes!$B$25*(H151-1))</f>
        <v>0</v>
      </c>
      <c r="K151" s="14" t="n">
        <f aca="false">IF(C151="Matador",J151/Notes!$B$21*Notes!$B$22,J151/Notes!$B$23*Notes!$B$24)</f>
        <v>0</v>
      </c>
    </row>
    <row r="152" customFormat="false" ht="15" hidden="false" customHeight="false" outlineLevel="0" collapsed="false">
      <c r="A152" s="12" t="n">
        <v>45435</v>
      </c>
      <c r="B152" s="5" t="s">
        <v>56</v>
      </c>
      <c r="C152" s="5" t="s">
        <v>150</v>
      </c>
      <c r="D152" s="5" t="n">
        <f aca="false">COUNTIFS('Pickup log'!$K$2:$K$225,A152,'Pickup log'!$D$2:$D$225,B152,'Pickup log'!$G$2:$G$225,C152)</f>
        <v>5</v>
      </c>
      <c r="E152" s="5" t="n">
        <f aca="false">IF(D152=0,0,_xlfn.MAXIFS('Pickup log'!$H$2:$H$225,'Pickup log'!$K$2:$K$225,A152,'Pickup log'!$D$2:$D$225,B152,'Pickup log'!$G$2:$G$225,C152))</f>
        <v>2</v>
      </c>
      <c r="F152" s="5" t="n">
        <f aca="false">IF(D152=0,0,2*E152+Notes!$B$25*(D152-1))</f>
        <v>12</v>
      </c>
      <c r="G152" s="14" t="n">
        <f aca="false">IF(C152="Matador",F152/Notes!$B$21*Notes!$B$22,F152/Notes!$B$23*Notes!$B$24)</f>
        <v>26.624</v>
      </c>
      <c r="H152" s="5" t="n">
        <f aca="false">COUNTIFS('Pickup log'!$K$2:$K$225,A152,'Pickup log'!$D$2:$D$225,B152,'Pickup log'!$G$2:$G$225,C152,'Pickup log'!$E$2:$E$225,"Economy")</f>
        <v>3</v>
      </c>
      <c r="I152" s="5" t="n">
        <f aca="false">IF(H152=0,0,_xlfn.MAXIFS('Pickup log'!$H$2:$H$225,'Pickup log'!$K$2:$K$225,A152,'Pickup log'!$D$2:$D$225,B152,'Pickup log'!$G$2:$G$225,C152,'Pickup log'!$E$2:$E$225,"Economy"))</f>
        <v>2</v>
      </c>
      <c r="J152" s="5" t="n">
        <f aca="false">IF(H152=0,0,2*I152+Notes!$B$25*(H152-1))</f>
        <v>8</v>
      </c>
      <c r="K152" s="14" t="n">
        <f aca="false">IF(C152="Matador",J152/Notes!$B$21*Notes!$B$22,J152/Notes!$B$23*Notes!$B$24)</f>
        <v>17.7493333333333</v>
      </c>
    </row>
    <row r="153" customFormat="false" ht="15" hidden="false" customHeight="false" outlineLevel="0" collapsed="false">
      <c r="A153" s="12" t="n">
        <v>45435</v>
      </c>
      <c r="B153" s="5" t="s">
        <v>56</v>
      </c>
      <c r="C153" s="5" t="s">
        <v>151</v>
      </c>
      <c r="D153" s="5" t="n">
        <f aca="false">COUNTIFS('Pickup log'!$K$2:$K$225,A153,'Pickup log'!$D$2:$D$225,B153,'Pickup log'!$G$2:$G$225,C153)</f>
        <v>0</v>
      </c>
      <c r="E153" s="5" t="n">
        <f aca="false">IF(D153=0,0,_xlfn.MAXIFS('Pickup log'!$H$2:$H$225,'Pickup log'!$K$2:$K$225,A153,'Pickup log'!$D$2:$D$225,B153,'Pickup log'!$G$2:$G$225,C153))</f>
        <v>0</v>
      </c>
      <c r="F153" s="5" t="n">
        <f aca="false">IF(D153=0,0,2*E153+Notes!$B$25*(D153-1))</f>
        <v>0</v>
      </c>
      <c r="G153" s="14" t="n">
        <f aca="false">IF(C153="Matador",F153/Notes!$B$21*Notes!$B$22,F153/Notes!$B$23*Notes!$B$24)</f>
        <v>0</v>
      </c>
      <c r="H153" s="5" t="n">
        <f aca="false">COUNTIFS('Pickup log'!$K$2:$K$225,A153,'Pickup log'!$D$2:$D$225,B153,'Pickup log'!$G$2:$G$225,C153,'Pickup log'!$E$2:$E$225,"Economy")</f>
        <v>0</v>
      </c>
      <c r="I153" s="5" t="n">
        <f aca="false">IF(H153=0,0,_xlfn.MAXIFS('Pickup log'!$H$2:$H$225,'Pickup log'!$K$2:$K$225,A153,'Pickup log'!$D$2:$D$225,B153,'Pickup log'!$G$2:$G$225,C153,'Pickup log'!$E$2:$E$225,"Economy"))</f>
        <v>0</v>
      </c>
      <c r="J153" s="5" t="n">
        <f aca="false">IF(H153=0,0,2*I153+Notes!$B$25*(H153-1))</f>
        <v>0</v>
      </c>
      <c r="K153" s="14" t="n">
        <f aca="false">IF(C153="Matador",J153/Notes!$B$21*Notes!$B$22,J153/Notes!$B$23*Notes!$B$24)</f>
        <v>0</v>
      </c>
    </row>
    <row r="154" customFormat="false" ht="15" hidden="false" customHeight="false" outlineLevel="0" collapsed="false">
      <c r="A154" s="12" t="n">
        <v>45435</v>
      </c>
      <c r="B154" s="5" t="s">
        <v>73</v>
      </c>
      <c r="C154" s="5" t="s">
        <v>150</v>
      </c>
      <c r="D154" s="5" t="n">
        <f aca="false">COUNTIFS('Pickup log'!$K$2:$K$225,A154,'Pickup log'!$D$2:$D$225,B154,'Pickup log'!$G$2:$G$225,C154)</f>
        <v>2</v>
      </c>
      <c r="E154" s="5" t="n">
        <f aca="false">IF(D154=0,0,_xlfn.MAXIFS('Pickup log'!$H$2:$H$225,'Pickup log'!$K$2:$K$225,A154,'Pickup log'!$D$2:$D$225,B154,'Pickup log'!$G$2:$G$225,C154))</f>
        <v>2.5</v>
      </c>
      <c r="F154" s="5" t="n">
        <f aca="false">IF(D154=0,0,2*E154+Notes!$B$25*(D154-1))</f>
        <v>7</v>
      </c>
      <c r="G154" s="14" t="n">
        <f aca="false">IF(C154="Matador",F154/Notes!$B$21*Notes!$B$22,F154/Notes!$B$23*Notes!$B$24)</f>
        <v>15.5306666666667</v>
      </c>
      <c r="H154" s="5" t="n">
        <f aca="false">COUNTIFS('Pickup log'!$K$2:$K$225,A154,'Pickup log'!$D$2:$D$225,B154,'Pickup log'!$G$2:$G$225,C154,'Pickup log'!$E$2:$E$225,"Economy")</f>
        <v>2</v>
      </c>
      <c r="I154" s="5" t="n">
        <f aca="false">IF(H154=0,0,_xlfn.MAXIFS('Pickup log'!$H$2:$H$225,'Pickup log'!$K$2:$K$225,A154,'Pickup log'!$D$2:$D$225,B154,'Pickup log'!$G$2:$G$225,C154,'Pickup log'!$E$2:$E$225,"Economy"))</f>
        <v>2.5</v>
      </c>
      <c r="J154" s="5" t="n">
        <f aca="false">IF(H154=0,0,2*I154+Notes!$B$25*(H154-1))</f>
        <v>7</v>
      </c>
      <c r="K154" s="14" t="n">
        <f aca="false">IF(C154="Matador",J154/Notes!$B$21*Notes!$B$22,J154/Notes!$B$23*Notes!$B$24)</f>
        <v>15.5306666666667</v>
      </c>
    </row>
    <row r="155" customFormat="false" ht="15" hidden="false" customHeight="false" outlineLevel="0" collapsed="false">
      <c r="A155" s="12" t="n">
        <v>45435</v>
      </c>
      <c r="B155" s="5" t="s">
        <v>73</v>
      </c>
      <c r="C155" s="5" t="s">
        <v>151</v>
      </c>
      <c r="D155" s="5" t="n">
        <f aca="false">COUNTIFS('Pickup log'!$K$2:$K$225,A155,'Pickup log'!$D$2:$D$225,B155,'Pickup log'!$G$2:$G$225,C155)</f>
        <v>1</v>
      </c>
      <c r="E155" s="5" t="n">
        <f aca="false">IF(D155=0,0,_xlfn.MAXIFS('Pickup log'!$H$2:$H$225,'Pickup log'!$K$2:$K$225,A155,'Pickup log'!$D$2:$D$225,B155,'Pickup log'!$G$2:$G$225,C155))</f>
        <v>11.5</v>
      </c>
      <c r="F155" s="5" t="n">
        <f aca="false">IF(D155=0,0,2*E155+Notes!$B$25*(D155-1))</f>
        <v>23</v>
      </c>
      <c r="G155" s="14" t="n">
        <f aca="false">IF(C155="Matador",F155/Notes!$B$21*Notes!$B$22,F155/Notes!$B$23*Notes!$B$24)</f>
        <v>123.524375</v>
      </c>
      <c r="H155" s="5" t="n">
        <f aca="false">COUNTIFS('Pickup log'!$K$2:$K$225,A155,'Pickup log'!$D$2:$D$225,B155,'Pickup log'!$G$2:$G$225,C155,'Pickup log'!$E$2:$E$225,"Economy")</f>
        <v>1</v>
      </c>
      <c r="I155" s="5" t="n">
        <f aca="false">IF(H155=0,0,_xlfn.MAXIFS('Pickup log'!$H$2:$H$225,'Pickup log'!$K$2:$K$225,A155,'Pickup log'!$D$2:$D$225,B155,'Pickup log'!$G$2:$G$225,C155,'Pickup log'!$E$2:$E$225,"Economy"))</f>
        <v>11.5</v>
      </c>
      <c r="J155" s="5" t="n">
        <f aca="false">IF(H155=0,0,2*I155+Notes!$B$25*(H155-1))</f>
        <v>23</v>
      </c>
      <c r="K155" s="14" t="n">
        <f aca="false">IF(C155="Matador",J155/Notes!$B$21*Notes!$B$22,J155/Notes!$B$23*Notes!$B$24)</f>
        <v>123.524375</v>
      </c>
    </row>
    <row r="156" customFormat="false" ht="15" hidden="false" customHeight="false" outlineLevel="0" collapsed="false">
      <c r="A156" s="12" t="n">
        <v>45435</v>
      </c>
      <c r="B156" s="5" t="s">
        <v>90</v>
      </c>
      <c r="C156" s="5" t="s">
        <v>150</v>
      </c>
      <c r="D156" s="5" t="n">
        <f aca="false">COUNTIFS('Pickup log'!$K$2:$K$225,A156,'Pickup log'!$D$2:$D$225,B156,'Pickup log'!$G$2:$G$225,C156)</f>
        <v>0</v>
      </c>
      <c r="E156" s="5" t="n">
        <f aca="false">IF(D156=0,0,_xlfn.MAXIFS('Pickup log'!$H$2:$H$225,'Pickup log'!$K$2:$K$225,A156,'Pickup log'!$D$2:$D$225,B156,'Pickup log'!$G$2:$G$225,C156))</f>
        <v>0</v>
      </c>
      <c r="F156" s="5" t="n">
        <f aca="false">IF(D156=0,0,2*E156+Notes!$B$25*(D156-1))</f>
        <v>0</v>
      </c>
      <c r="G156" s="14" t="n">
        <f aca="false">IF(C156="Matador",F156/Notes!$B$21*Notes!$B$22,F156/Notes!$B$23*Notes!$B$24)</f>
        <v>0</v>
      </c>
      <c r="H156" s="5" t="n">
        <f aca="false">COUNTIFS('Pickup log'!$K$2:$K$225,A156,'Pickup log'!$D$2:$D$225,B156,'Pickup log'!$G$2:$G$225,C156,'Pickup log'!$E$2:$E$225,"Economy")</f>
        <v>0</v>
      </c>
      <c r="I156" s="5" t="n">
        <f aca="false">IF(H156=0,0,_xlfn.MAXIFS('Pickup log'!$H$2:$H$225,'Pickup log'!$K$2:$K$225,A156,'Pickup log'!$D$2:$D$225,B156,'Pickup log'!$G$2:$G$225,C156,'Pickup log'!$E$2:$E$225,"Economy"))</f>
        <v>0</v>
      </c>
      <c r="J156" s="5" t="n">
        <f aca="false">IF(H156=0,0,2*I156+Notes!$B$25*(H156-1))</f>
        <v>0</v>
      </c>
      <c r="K156" s="14" t="n">
        <f aca="false">IF(C156="Matador",J156/Notes!$B$21*Notes!$B$22,J156/Notes!$B$23*Notes!$B$24)</f>
        <v>0</v>
      </c>
    </row>
    <row r="157" customFormat="false" ht="15" hidden="false" customHeight="false" outlineLevel="0" collapsed="false">
      <c r="A157" s="12" t="n">
        <v>45435</v>
      </c>
      <c r="B157" s="5" t="s">
        <v>90</v>
      </c>
      <c r="C157" s="5" t="s">
        <v>151</v>
      </c>
      <c r="D157" s="5" t="n">
        <f aca="false">COUNTIFS('Pickup log'!$K$2:$K$225,A157,'Pickup log'!$D$2:$D$225,B157,'Pickup log'!$G$2:$G$225,C157)</f>
        <v>0</v>
      </c>
      <c r="E157" s="5" t="n">
        <f aca="false">IF(D157=0,0,_xlfn.MAXIFS('Pickup log'!$H$2:$H$225,'Pickup log'!$K$2:$K$225,A157,'Pickup log'!$D$2:$D$225,B157,'Pickup log'!$G$2:$G$225,C157))</f>
        <v>0</v>
      </c>
      <c r="F157" s="5" t="n">
        <f aca="false">IF(D157=0,0,2*E157+Notes!$B$25*(D157-1))</f>
        <v>0</v>
      </c>
      <c r="G157" s="14" t="n">
        <f aca="false">IF(C157="Matador",F157/Notes!$B$21*Notes!$B$22,F157/Notes!$B$23*Notes!$B$24)</f>
        <v>0</v>
      </c>
      <c r="H157" s="5" t="n">
        <f aca="false">COUNTIFS('Pickup log'!$K$2:$K$225,A157,'Pickup log'!$D$2:$D$225,B157,'Pickup log'!$G$2:$G$225,C157,'Pickup log'!$E$2:$E$225,"Economy")</f>
        <v>0</v>
      </c>
      <c r="I157" s="5" t="n">
        <f aca="false">IF(H157=0,0,_xlfn.MAXIFS('Pickup log'!$H$2:$H$225,'Pickup log'!$K$2:$K$225,A157,'Pickup log'!$D$2:$D$225,B157,'Pickup log'!$G$2:$G$225,C157,'Pickup log'!$E$2:$E$225,"Economy"))</f>
        <v>0</v>
      </c>
      <c r="J157" s="5" t="n">
        <f aca="false">IF(H157=0,0,2*I157+Notes!$B$25*(H157-1))</f>
        <v>0</v>
      </c>
      <c r="K157" s="14" t="n">
        <f aca="false">IF(C157="Matador",J157/Notes!$B$21*Notes!$B$22,J157/Notes!$B$23*Notes!$B$24)</f>
        <v>0</v>
      </c>
    </row>
    <row r="158" customFormat="false" ht="15" hidden="false" customHeight="false" outlineLevel="0" collapsed="false">
      <c r="A158" s="12" t="n">
        <v>45435</v>
      </c>
      <c r="B158" s="5" t="s">
        <v>101</v>
      </c>
      <c r="C158" s="5" t="s">
        <v>150</v>
      </c>
      <c r="D158" s="5" t="n">
        <f aca="false">COUNTIFS('Pickup log'!$K$2:$K$225,A158,'Pickup log'!$D$2:$D$225,B158,'Pickup log'!$G$2:$G$225,C158)</f>
        <v>0</v>
      </c>
      <c r="E158" s="5" t="n">
        <f aca="false">IF(D158=0,0,_xlfn.MAXIFS('Pickup log'!$H$2:$H$225,'Pickup log'!$K$2:$K$225,A158,'Pickup log'!$D$2:$D$225,B158,'Pickup log'!$G$2:$G$225,C158))</f>
        <v>0</v>
      </c>
      <c r="F158" s="5" t="n">
        <f aca="false">IF(D158=0,0,2*E158+Notes!$B$25*(D158-1))</f>
        <v>0</v>
      </c>
      <c r="G158" s="14" t="n">
        <f aca="false">IF(C158="Matador",F158/Notes!$B$21*Notes!$B$22,F158/Notes!$B$23*Notes!$B$24)</f>
        <v>0</v>
      </c>
      <c r="H158" s="5" t="n">
        <f aca="false">COUNTIFS('Pickup log'!$K$2:$K$225,A158,'Pickup log'!$D$2:$D$225,B158,'Pickup log'!$G$2:$G$225,C158,'Pickup log'!$E$2:$E$225,"Economy")</f>
        <v>0</v>
      </c>
      <c r="I158" s="5" t="n">
        <f aca="false">IF(H158=0,0,_xlfn.MAXIFS('Pickup log'!$H$2:$H$225,'Pickup log'!$K$2:$K$225,A158,'Pickup log'!$D$2:$D$225,B158,'Pickup log'!$G$2:$G$225,C158,'Pickup log'!$E$2:$E$225,"Economy"))</f>
        <v>0</v>
      </c>
      <c r="J158" s="5" t="n">
        <f aca="false">IF(H158=0,0,2*I158+Notes!$B$25*(H158-1))</f>
        <v>0</v>
      </c>
      <c r="K158" s="14" t="n">
        <f aca="false">IF(C158="Matador",J158/Notes!$B$21*Notes!$B$22,J158/Notes!$B$23*Notes!$B$24)</f>
        <v>0</v>
      </c>
    </row>
    <row r="159" customFormat="false" ht="15" hidden="false" customHeight="false" outlineLevel="0" collapsed="false">
      <c r="A159" s="12" t="n">
        <v>45435</v>
      </c>
      <c r="B159" s="5" t="s">
        <v>101</v>
      </c>
      <c r="C159" s="5" t="s">
        <v>151</v>
      </c>
      <c r="D159" s="5" t="n">
        <f aca="false">COUNTIFS('Pickup log'!$K$2:$K$225,A159,'Pickup log'!$D$2:$D$225,B159,'Pickup log'!$G$2:$G$225,C159)</f>
        <v>0</v>
      </c>
      <c r="E159" s="5" t="n">
        <f aca="false">IF(D159=0,0,_xlfn.MAXIFS('Pickup log'!$H$2:$H$225,'Pickup log'!$K$2:$K$225,A159,'Pickup log'!$D$2:$D$225,B159,'Pickup log'!$G$2:$G$225,C159))</f>
        <v>0</v>
      </c>
      <c r="F159" s="5" t="n">
        <f aca="false">IF(D159=0,0,2*E159+Notes!$B$25*(D159-1))</f>
        <v>0</v>
      </c>
      <c r="G159" s="14" t="n">
        <f aca="false">IF(C159="Matador",F159/Notes!$B$21*Notes!$B$22,F159/Notes!$B$23*Notes!$B$24)</f>
        <v>0</v>
      </c>
      <c r="H159" s="5" t="n">
        <f aca="false">COUNTIFS('Pickup log'!$K$2:$K$225,A159,'Pickup log'!$D$2:$D$225,B159,'Pickup log'!$G$2:$G$225,C159,'Pickup log'!$E$2:$E$225,"Economy")</f>
        <v>0</v>
      </c>
      <c r="I159" s="5" t="n">
        <f aca="false">IF(H159=0,0,_xlfn.MAXIFS('Pickup log'!$H$2:$H$225,'Pickup log'!$K$2:$K$225,A159,'Pickup log'!$D$2:$D$225,B159,'Pickup log'!$G$2:$G$225,C159,'Pickup log'!$E$2:$E$225,"Economy"))</f>
        <v>0</v>
      </c>
      <c r="J159" s="5" t="n">
        <f aca="false">IF(H159=0,0,2*I159+Notes!$B$25*(H159-1))</f>
        <v>0</v>
      </c>
      <c r="K159" s="14" t="n">
        <f aca="false">IF(C159="Matador",J159/Notes!$B$21*Notes!$B$22,J159/Notes!$B$23*Notes!$B$24)</f>
        <v>0</v>
      </c>
    </row>
    <row r="160" customFormat="false" ht="15" hidden="false" customHeight="false" outlineLevel="0" collapsed="false">
      <c r="A160" s="12" t="n">
        <v>45435</v>
      </c>
      <c r="B160" s="5" t="s">
        <v>114</v>
      </c>
      <c r="C160" s="5" t="s">
        <v>150</v>
      </c>
      <c r="D160" s="5" t="n">
        <f aca="false">COUNTIFS('Pickup log'!$K$2:$K$225,A160,'Pickup log'!$D$2:$D$225,B160,'Pickup log'!$G$2:$G$225,C160)</f>
        <v>0</v>
      </c>
      <c r="E160" s="5" t="n">
        <f aca="false">IF(D160=0,0,_xlfn.MAXIFS('Pickup log'!$H$2:$H$225,'Pickup log'!$K$2:$K$225,A160,'Pickup log'!$D$2:$D$225,B160,'Pickup log'!$G$2:$G$225,C160))</f>
        <v>0</v>
      </c>
      <c r="F160" s="5" t="n">
        <f aca="false">IF(D160=0,0,2*E160+Notes!$B$25*(D160-1))</f>
        <v>0</v>
      </c>
      <c r="G160" s="14" t="n">
        <f aca="false">IF(C160="Matador",F160/Notes!$B$21*Notes!$B$22,F160/Notes!$B$23*Notes!$B$24)</f>
        <v>0</v>
      </c>
      <c r="H160" s="5" t="n">
        <f aca="false">COUNTIFS('Pickup log'!$K$2:$K$225,A160,'Pickup log'!$D$2:$D$225,B160,'Pickup log'!$G$2:$G$225,C160,'Pickup log'!$E$2:$E$225,"Economy")</f>
        <v>0</v>
      </c>
      <c r="I160" s="5" t="n">
        <f aca="false">IF(H160=0,0,_xlfn.MAXIFS('Pickup log'!$H$2:$H$225,'Pickup log'!$K$2:$K$225,A160,'Pickup log'!$D$2:$D$225,B160,'Pickup log'!$G$2:$G$225,C160,'Pickup log'!$E$2:$E$225,"Economy"))</f>
        <v>0</v>
      </c>
      <c r="J160" s="5" t="n">
        <f aca="false">IF(H160=0,0,2*I160+Notes!$B$25*(H160-1))</f>
        <v>0</v>
      </c>
      <c r="K160" s="14" t="n">
        <f aca="false">IF(C160="Matador",J160/Notes!$B$21*Notes!$B$22,J160/Notes!$B$23*Notes!$B$24)</f>
        <v>0</v>
      </c>
    </row>
    <row r="161" customFormat="false" ht="15" hidden="false" customHeight="false" outlineLevel="0" collapsed="false">
      <c r="A161" s="12" t="n">
        <v>45435</v>
      </c>
      <c r="B161" s="5" t="s">
        <v>114</v>
      </c>
      <c r="C161" s="5" t="s">
        <v>151</v>
      </c>
      <c r="D161" s="5" t="n">
        <f aca="false">COUNTIFS('Pickup log'!$K$2:$K$225,A161,'Pickup log'!$D$2:$D$225,B161,'Pickup log'!$G$2:$G$225,C161)</f>
        <v>0</v>
      </c>
      <c r="E161" s="5" t="n">
        <f aca="false">IF(D161=0,0,_xlfn.MAXIFS('Pickup log'!$H$2:$H$225,'Pickup log'!$K$2:$K$225,A161,'Pickup log'!$D$2:$D$225,B161,'Pickup log'!$G$2:$G$225,C161))</f>
        <v>0</v>
      </c>
      <c r="F161" s="5" t="n">
        <f aca="false">IF(D161=0,0,2*E161+Notes!$B$25*(D161-1))</f>
        <v>0</v>
      </c>
      <c r="G161" s="14" t="n">
        <f aca="false">IF(C161="Matador",F161/Notes!$B$21*Notes!$B$22,F161/Notes!$B$23*Notes!$B$24)</f>
        <v>0</v>
      </c>
      <c r="H161" s="5" t="n">
        <f aca="false">COUNTIFS('Pickup log'!$K$2:$K$225,A161,'Pickup log'!$D$2:$D$225,B161,'Pickup log'!$G$2:$G$225,C161,'Pickup log'!$E$2:$E$225,"Economy")</f>
        <v>0</v>
      </c>
      <c r="I161" s="5" t="n">
        <f aca="false">IF(H161=0,0,_xlfn.MAXIFS('Pickup log'!$H$2:$H$225,'Pickup log'!$K$2:$K$225,A161,'Pickup log'!$D$2:$D$225,B161,'Pickup log'!$G$2:$G$225,C161,'Pickup log'!$E$2:$E$225,"Economy"))</f>
        <v>0</v>
      </c>
      <c r="J161" s="5" t="n">
        <f aca="false">IF(H161=0,0,2*I161+Notes!$B$25*(H161-1))</f>
        <v>0</v>
      </c>
      <c r="K161" s="14" t="n">
        <f aca="false">IF(C161="Matador",J161/Notes!$B$21*Notes!$B$22,J161/Notes!$B$23*Notes!$B$24)</f>
        <v>0</v>
      </c>
    </row>
    <row r="162" customFormat="false" ht="15" hidden="false" customHeight="false" outlineLevel="0" collapsed="false">
      <c r="A162" s="12" t="n">
        <v>45436</v>
      </c>
      <c r="B162" s="5" t="s">
        <v>56</v>
      </c>
      <c r="C162" s="5" t="s">
        <v>150</v>
      </c>
      <c r="D162" s="5" t="n">
        <f aca="false">COUNTIFS('Pickup log'!$K$2:$K$225,A162,'Pickup log'!$D$2:$D$225,B162,'Pickup log'!$G$2:$G$225,C162)</f>
        <v>1</v>
      </c>
      <c r="E162" s="5" t="n">
        <f aca="false">IF(D162=0,0,_xlfn.MAXIFS('Pickup log'!$H$2:$H$225,'Pickup log'!$K$2:$K$225,A162,'Pickup log'!$D$2:$D$225,B162,'Pickup log'!$G$2:$G$225,C162))</f>
        <v>2</v>
      </c>
      <c r="F162" s="5" t="n">
        <f aca="false">IF(D162=0,0,2*E162+Notes!$B$25*(D162-1))</f>
        <v>4</v>
      </c>
      <c r="G162" s="14" t="n">
        <f aca="false">IF(C162="Matador",F162/Notes!$B$21*Notes!$B$22,F162/Notes!$B$23*Notes!$B$24)</f>
        <v>8.87466666666667</v>
      </c>
      <c r="H162" s="5" t="n">
        <f aca="false">COUNTIFS('Pickup log'!$K$2:$K$225,A162,'Pickup log'!$D$2:$D$225,B162,'Pickup log'!$G$2:$G$225,C162,'Pickup log'!$E$2:$E$225,"Economy")</f>
        <v>1</v>
      </c>
      <c r="I162" s="5" t="n">
        <f aca="false">IF(H162=0,0,_xlfn.MAXIFS('Pickup log'!$H$2:$H$225,'Pickup log'!$K$2:$K$225,A162,'Pickup log'!$D$2:$D$225,B162,'Pickup log'!$G$2:$G$225,C162,'Pickup log'!$E$2:$E$225,"Economy"))</f>
        <v>2</v>
      </c>
      <c r="J162" s="5" t="n">
        <f aca="false">IF(H162=0,0,2*I162+Notes!$B$25*(H162-1))</f>
        <v>4</v>
      </c>
      <c r="K162" s="14" t="n">
        <f aca="false">IF(C162="Matador",J162/Notes!$B$21*Notes!$B$22,J162/Notes!$B$23*Notes!$B$24)</f>
        <v>8.87466666666667</v>
      </c>
    </row>
    <row r="163" customFormat="false" ht="15" hidden="false" customHeight="false" outlineLevel="0" collapsed="false">
      <c r="A163" s="12" t="n">
        <v>45436</v>
      </c>
      <c r="B163" s="5" t="s">
        <v>56</v>
      </c>
      <c r="C163" s="5" t="s">
        <v>151</v>
      </c>
      <c r="D163" s="5" t="n">
        <f aca="false">COUNTIFS('Pickup log'!$K$2:$K$225,A163,'Pickup log'!$D$2:$D$225,B163,'Pickup log'!$G$2:$G$225,C163)</f>
        <v>1</v>
      </c>
      <c r="E163" s="5" t="n">
        <f aca="false">IF(D163=0,0,_xlfn.MAXIFS('Pickup log'!$H$2:$H$225,'Pickup log'!$K$2:$K$225,A163,'Pickup log'!$D$2:$D$225,B163,'Pickup log'!$G$2:$G$225,C163))</f>
        <v>2</v>
      </c>
      <c r="F163" s="5" t="n">
        <f aca="false">IF(D163=0,0,2*E163+Notes!$B$25*(D163-1))</f>
        <v>4</v>
      </c>
      <c r="G163" s="14" t="n">
        <f aca="false">IF(C163="Matador",F163/Notes!$B$21*Notes!$B$22,F163/Notes!$B$23*Notes!$B$24)</f>
        <v>21.4825</v>
      </c>
      <c r="H163" s="5" t="n">
        <f aca="false">COUNTIFS('Pickup log'!$K$2:$K$225,A163,'Pickup log'!$D$2:$D$225,B163,'Pickup log'!$G$2:$G$225,C163,'Pickup log'!$E$2:$E$225,"Economy")</f>
        <v>1</v>
      </c>
      <c r="I163" s="5" t="n">
        <f aca="false">IF(H163=0,0,_xlfn.MAXIFS('Pickup log'!$H$2:$H$225,'Pickup log'!$K$2:$K$225,A163,'Pickup log'!$D$2:$D$225,B163,'Pickup log'!$G$2:$G$225,C163,'Pickup log'!$E$2:$E$225,"Economy"))</f>
        <v>2</v>
      </c>
      <c r="J163" s="5" t="n">
        <f aca="false">IF(H163=0,0,2*I163+Notes!$B$25*(H163-1))</f>
        <v>4</v>
      </c>
      <c r="K163" s="14" t="n">
        <f aca="false">IF(C163="Matador",J163/Notes!$B$21*Notes!$B$22,J163/Notes!$B$23*Notes!$B$24)</f>
        <v>21.4825</v>
      </c>
    </row>
    <row r="164" customFormat="false" ht="15" hidden="false" customHeight="false" outlineLevel="0" collapsed="false">
      <c r="A164" s="12" t="n">
        <v>45436</v>
      </c>
      <c r="B164" s="5" t="s">
        <v>73</v>
      </c>
      <c r="C164" s="5" t="s">
        <v>150</v>
      </c>
      <c r="D164" s="5" t="n">
        <f aca="false">COUNTIFS('Pickup log'!$K$2:$K$225,A164,'Pickup log'!$D$2:$D$225,B164,'Pickup log'!$G$2:$G$225,C164)</f>
        <v>3</v>
      </c>
      <c r="E164" s="5" t="n">
        <f aca="false">IF(D164=0,0,_xlfn.MAXIFS('Pickup log'!$H$2:$H$225,'Pickup log'!$K$2:$K$225,A164,'Pickup log'!$D$2:$D$225,B164,'Pickup log'!$G$2:$G$225,C164))</f>
        <v>2.5</v>
      </c>
      <c r="F164" s="5" t="n">
        <f aca="false">IF(D164=0,0,2*E164+Notes!$B$25*(D164-1))</f>
        <v>9</v>
      </c>
      <c r="G164" s="14" t="n">
        <f aca="false">IF(C164="Matador",F164/Notes!$B$21*Notes!$B$22,F164/Notes!$B$23*Notes!$B$24)</f>
        <v>19.968</v>
      </c>
      <c r="H164" s="5" t="n">
        <f aca="false">COUNTIFS('Pickup log'!$K$2:$K$225,A164,'Pickup log'!$D$2:$D$225,B164,'Pickup log'!$G$2:$G$225,C164,'Pickup log'!$E$2:$E$225,"Economy")</f>
        <v>2</v>
      </c>
      <c r="I164" s="5" t="n">
        <f aca="false">IF(H164=0,0,_xlfn.MAXIFS('Pickup log'!$H$2:$H$225,'Pickup log'!$K$2:$K$225,A164,'Pickup log'!$D$2:$D$225,B164,'Pickup log'!$G$2:$G$225,C164,'Pickup log'!$E$2:$E$225,"Economy"))</f>
        <v>2.5</v>
      </c>
      <c r="J164" s="5" t="n">
        <f aca="false">IF(H164=0,0,2*I164+Notes!$B$25*(H164-1))</f>
        <v>7</v>
      </c>
      <c r="K164" s="14" t="n">
        <f aca="false">IF(C164="Matador",J164/Notes!$B$21*Notes!$B$22,J164/Notes!$B$23*Notes!$B$24)</f>
        <v>15.5306666666667</v>
      </c>
    </row>
    <row r="165" customFormat="false" ht="15" hidden="false" customHeight="false" outlineLevel="0" collapsed="false">
      <c r="A165" s="12" t="n">
        <v>45436</v>
      </c>
      <c r="B165" s="5" t="s">
        <v>73</v>
      </c>
      <c r="C165" s="5" t="s">
        <v>151</v>
      </c>
      <c r="D165" s="5" t="n">
        <f aca="false">COUNTIFS('Pickup log'!$K$2:$K$225,A165,'Pickup log'!$D$2:$D$225,B165,'Pickup log'!$G$2:$G$225,C165)</f>
        <v>1</v>
      </c>
      <c r="E165" s="5" t="n">
        <f aca="false">IF(D165=0,0,_xlfn.MAXIFS('Pickup log'!$H$2:$H$225,'Pickup log'!$K$2:$K$225,A165,'Pickup log'!$D$2:$D$225,B165,'Pickup log'!$G$2:$G$225,C165))</f>
        <v>4.5</v>
      </c>
      <c r="F165" s="5" t="n">
        <f aca="false">IF(D165=0,0,2*E165+Notes!$B$25*(D165-1))</f>
        <v>9</v>
      </c>
      <c r="G165" s="14" t="n">
        <f aca="false">IF(C165="Matador",F165/Notes!$B$21*Notes!$B$22,F165/Notes!$B$23*Notes!$B$24)</f>
        <v>48.335625</v>
      </c>
      <c r="H165" s="5" t="n">
        <f aca="false">COUNTIFS('Pickup log'!$K$2:$K$225,A165,'Pickup log'!$D$2:$D$225,B165,'Pickup log'!$G$2:$G$225,C165,'Pickup log'!$E$2:$E$225,"Economy")</f>
        <v>0</v>
      </c>
      <c r="I165" s="5" t="n">
        <f aca="false">IF(H165=0,0,_xlfn.MAXIFS('Pickup log'!$H$2:$H$225,'Pickup log'!$K$2:$K$225,A165,'Pickup log'!$D$2:$D$225,B165,'Pickup log'!$G$2:$G$225,C165,'Pickup log'!$E$2:$E$225,"Economy"))</f>
        <v>0</v>
      </c>
      <c r="J165" s="5" t="n">
        <f aca="false">IF(H165=0,0,2*I165+Notes!$B$25*(H165-1))</f>
        <v>0</v>
      </c>
      <c r="K165" s="14" t="n">
        <f aca="false">IF(C165="Matador",J165/Notes!$B$21*Notes!$B$22,J165/Notes!$B$23*Notes!$B$24)</f>
        <v>0</v>
      </c>
    </row>
    <row r="166" customFormat="false" ht="15" hidden="false" customHeight="false" outlineLevel="0" collapsed="false">
      <c r="A166" s="12" t="n">
        <v>45436</v>
      </c>
      <c r="B166" s="5" t="s">
        <v>90</v>
      </c>
      <c r="C166" s="5" t="s">
        <v>150</v>
      </c>
      <c r="D166" s="5" t="n">
        <f aca="false">COUNTIFS('Pickup log'!$K$2:$K$225,A166,'Pickup log'!$D$2:$D$225,B166,'Pickup log'!$G$2:$G$225,C166)</f>
        <v>1</v>
      </c>
      <c r="E166" s="5" t="n">
        <f aca="false">IF(D166=0,0,_xlfn.MAXIFS('Pickup log'!$H$2:$H$225,'Pickup log'!$K$2:$K$225,A166,'Pickup log'!$D$2:$D$225,B166,'Pickup log'!$G$2:$G$225,C166))</f>
        <v>5.5</v>
      </c>
      <c r="F166" s="5" t="n">
        <f aca="false">IF(D166=0,0,2*E166+Notes!$B$25*(D166-1))</f>
        <v>11</v>
      </c>
      <c r="G166" s="14" t="n">
        <f aca="false">IF(C166="Matador",F166/Notes!$B$21*Notes!$B$22,F166/Notes!$B$23*Notes!$B$24)</f>
        <v>24.4053333333333</v>
      </c>
      <c r="H166" s="5" t="n">
        <f aca="false">COUNTIFS('Pickup log'!$K$2:$K$225,A166,'Pickup log'!$D$2:$D$225,B166,'Pickup log'!$G$2:$G$225,C166,'Pickup log'!$E$2:$E$225,"Economy")</f>
        <v>1</v>
      </c>
      <c r="I166" s="5" t="n">
        <f aca="false">IF(H166=0,0,_xlfn.MAXIFS('Pickup log'!$H$2:$H$225,'Pickup log'!$K$2:$K$225,A166,'Pickup log'!$D$2:$D$225,B166,'Pickup log'!$G$2:$G$225,C166,'Pickup log'!$E$2:$E$225,"Economy"))</f>
        <v>5.5</v>
      </c>
      <c r="J166" s="5" t="n">
        <f aca="false">IF(H166=0,0,2*I166+Notes!$B$25*(H166-1))</f>
        <v>11</v>
      </c>
      <c r="K166" s="14" t="n">
        <f aca="false">IF(C166="Matador",J166/Notes!$B$21*Notes!$B$22,J166/Notes!$B$23*Notes!$B$24)</f>
        <v>24.4053333333333</v>
      </c>
    </row>
    <row r="167" customFormat="false" ht="15" hidden="false" customHeight="false" outlineLevel="0" collapsed="false">
      <c r="A167" s="12" t="n">
        <v>45436</v>
      </c>
      <c r="B167" s="5" t="s">
        <v>90</v>
      </c>
      <c r="C167" s="5" t="s">
        <v>151</v>
      </c>
      <c r="D167" s="5" t="n">
        <f aca="false">COUNTIFS('Pickup log'!$K$2:$K$225,A167,'Pickup log'!$D$2:$D$225,B167,'Pickup log'!$G$2:$G$225,C167)</f>
        <v>0</v>
      </c>
      <c r="E167" s="5" t="n">
        <f aca="false">IF(D167=0,0,_xlfn.MAXIFS('Pickup log'!$H$2:$H$225,'Pickup log'!$K$2:$K$225,A167,'Pickup log'!$D$2:$D$225,B167,'Pickup log'!$G$2:$G$225,C167))</f>
        <v>0</v>
      </c>
      <c r="F167" s="5" t="n">
        <f aca="false">IF(D167=0,0,2*E167+Notes!$B$25*(D167-1))</f>
        <v>0</v>
      </c>
      <c r="G167" s="14" t="n">
        <f aca="false">IF(C167="Matador",F167/Notes!$B$21*Notes!$B$22,F167/Notes!$B$23*Notes!$B$24)</f>
        <v>0</v>
      </c>
      <c r="H167" s="5" t="n">
        <f aca="false">COUNTIFS('Pickup log'!$K$2:$K$225,A167,'Pickup log'!$D$2:$D$225,B167,'Pickup log'!$G$2:$G$225,C167,'Pickup log'!$E$2:$E$225,"Economy")</f>
        <v>0</v>
      </c>
      <c r="I167" s="5" t="n">
        <f aca="false">IF(H167=0,0,_xlfn.MAXIFS('Pickup log'!$H$2:$H$225,'Pickup log'!$K$2:$K$225,A167,'Pickup log'!$D$2:$D$225,B167,'Pickup log'!$G$2:$G$225,C167,'Pickup log'!$E$2:$E$225,"Economy"))</f>
        <v>0</v>
      </c>
      <c r="J167" s="5" t="n">
        <f aca="false">IF(H167=0,0,2*I167+Notes!$B$25*(H167-1))</f>
        <v>0</v>
      </c>
      <c r="K167" s="14" t="n">
        <f aca="false">IF(C167="Matador",J167/Notes!$B$21*Notes!$B$22,J167/Notes!$B$23*Notes!$B$24)</f>
        <v>0</v>
      </c>
    </row>
    <row r="168" customFormat="false" ht="15" hidden="false" customHeight="false" outlineLevel="0" collapsed="false">
      <c r="A168" s="12" t="n">
        <v>45436</v>
      </c>
      <c r="B168" s="5" t="s">
        <v>101</v>
      </c>
      <c r="C168" s="5" t="s">
        <v>150</v>
      </c>
      <c r="D168" s="5" t="n">
        <f aca="false">COUNTIFS('Pickup log'!$K$2:$K$225,A168,'Pickup log'!$D$2:$D$225,B168,'Pickup log'!$G$2:$G$225,C168)</f>
        <v>1</v>
      </c>
      <c r="E168" s="5" t="n">
        <f aca="false">IF(D168=0,0,_xlfn.MAXIFS('Pickup log'!$H$2:$H$225,'Pickup log'!$K$2:$K$225,A168,'Pickup log'!$D$2:$D$225,B168,'Pickup log'!$G$2:$G$225,C168))</f>
        <v>14.5</v>
      </c>
      <c r="F168" s="5" t="n">
        <f aca="false">IF(D168=0,0,2*E168+Notes!$B$25*(D168-1))</f>
        <v>29</v>
      </c>
      <c r="G168" s="14" t="n">
        <f aca="false">IF(C168="Matador",F168/Notes!$B$21*Notes!$B$22,F168/Notes!$B$23*Notes!$B$24)</f>
        <v>64.3413333333333</v>
      </c>
      <c r="H168" s="5" t="n">
        <f aca="false">COUNTIFS('Pickup log'!$K$2:$K$225,A168,'Pickup log'!$D$2:$D$225,B168,'Pickup log'!$G$2:$G$225,C168,'Pickup log'!$E$2:$E$225,"Economy")</f>
        <v>1</v>
      </c>
      <c r="I168" s="5" t="n">
        <f aca="false">IF(H168=0,0,_xlfn.MAXIFS('Pickup log'!$H$2:$H$225,'Pickup log'!$K$2:$K$225,A168,'Pickup log'!$D$2:$D$225,B168,'Pickup log'!$G$2:$G$225,C168,'Pickup log'!$E$2:$E$225,"Economy"))</f>
        <v>14.5</v>
      </c>
      <c r="J168" s="5" t="n">
        <f aca="false">IF(H168=0,0,2*I168+Notes!$B$25*(H168-1))</f>
        <v>29</v>
      </c>
      <c r="K168" s="14" t="n">
        <f aca="false">IF(C168="Matador",J168/Notes!$B$21*Notes!$B$22,J168/Notes!$B$23*Notes!$B$24)</f>
        <v>64.3413333333333</v>
      </c>
    </row>
    <row r="169" customFormat="false" ht="15" hidden="false" customHeight="false" outlineLevel="0" collapsed="false">
      <c r="A169" s="12" t="n">
        <v>45436</v>
      </c>
      <c r="B169" s="5" t="s">
        <v>101</v>
      </c>
      <c r="C169" s="5" t="s">
        <v>151</v>
      </c>
      <c r="D169" s="5" t="n">
        <f aca="false">COUNTIFS('Pickup log'!$K$2:$K$225,A169,'Pickup log'!$D$2:$D$225,B169,'Pickup log'!$G$2:$G$225,C169)</f>
        <v>0</v>
      </c>
      <c r="E169" s="5" t="n">
        <f aca="false">IF(D169=0,0,_xlfn.MAXIFS('Pickup log'!$H$2:$H$225,'Pickup log'!$K$2:$K$225,A169,'Pickup log'!$D$2:$D$225,B169,'Pickup log'!$G$2:$G$225,C169))</f>
        <v>0</v>
      </c>
      <c r="F169" s="5" t="n">
        <f aca="false">IF(D169=0,0,2*E169+Notes!$B$25*(D169-1))</f>
        <v>0</v>
      </c>
      <c r="G169" s="14" t="n">
        <f aca="false">IF(C169="Matador",F169/Notes!$B$21*Notes!$B$22,F169/Notes!$B$23*Notes!$B$24)</f>
        <v>0</v>
      </c>
      <c r="H169" s="5" t="n">
        <f aca="false">COUNTIFS('Pickup log'!$K$2:$K$225,A169,'Pickup log'!$D$2:$D$225,B169,'Pickup log'!$G$2:$G$225,C169,'Pickup log'!$E$2:$E$225,"Economy")</f>
        <v>0</v>
      </c>
      <c r="I169" s="5" t="n">
        <f aca="false">IF(H169=0,0,_xlfn.MAXIFS('Pickup log'!$H$2:$H$225,'Pickup log'!$K$2:$K$225,A169,'Pickup log'!$D$2:$D$225,B169,'Pickup log'!$G$2:$G$225,C169,'Pickup log'!$E$2:$E$225,"Economy"))</f>
        <v>0</v>
      </c>
      <c r="J169" s="5" t="n">
        <f aca="false">IF(H169=0,0,2*I169+Notes!$B$25*(H169-1))</f>
        <v>0</v>
      </c>
      <c r="K169" s="14" t="n">
        <f aca="false">IF(C169="Matador",J169/Notes!$B$21*Notes!$B$22,J169/Notes!$B$23*Notes!$B$24)</f>
        <v>0</v>
      </c>
    </row>
    <row r="170" customFormat="false" ht="15" hidden="false" customHeight="false" outlineLevel="0" collapsed="false">
      <c r="A170" s="12" t="n">
        <v>45436</v>
      </c>
      <c r="B170" s="5" t="s">
        <v>114</v>
      </c>
      <c r="C170" s="5" t="s">
        <v>150</v>
      </c>
      <c r="D170" s="5" t="n">
        <f aca="false">COUNTIFS('Pickup log'!$K$2:$K$225,A170,'Pickup log'!$D$2:$D$225,B170,'Pickup log'!$G$2:$G$225,C170)</f>
        <v>0</v>
      </c>
      <c r="E170" s="5" t="n">
        <f aca="false">IF(D170=0,0,_xlfn.MAXIFS('Pickup log'!$H$2:$H$225,'Pickup log'!$K$2:$K$225,A170,'Pickup log'!$D$2:$D$225,B170,'Pickup log'!$G$2:$G$225,C170))</f>
        <v>0</v>
      </c>
      <c r="F170" s="5" t="n">
        <f aca="false">IF(D170=0,0,2*E170+Notes!$B$25*(D170-1))</f>
        <v>0</v>
      </c>
      <c r="G170" s="14" t="n">
        <f aca="false">IF(C170="Matador",F170/Notes!$B$21*Notes!$B$22,F170/Notes!$B$23*Notes!$B$24)</f>
        <v>0</v>
      </c>
      <c r="H170" s="5" t="n">
        <f aca="false">COUNTIFS('Pickup log'!$K$2:$K$225,A170,'Pickup log'!$D$2:$D$225,B170,'Pickup log'!$G$2:$G$225,C170,'Pickup log'!$E$2:$E$225,"Economy")</f>
        <v>0</v>
      </c>
      <c r="I170" s="5" t="n">
        <f aca="false">IF(H170=0,0,_xlfn.MAXIFS('Pickup log'!$H$2:$H$225,'Pickup log'!$K$2:$K$225,A170,'Pickup log'!$D$2:$D$225,B170,'Pickup log'!$G$2:$G$225,C170,'Pickup log'!$E$2:$E$225,"Economy"))</f>
        <v>0</v>
      </c>
      <c r="J170" s="5" t="n">
        <f aca="false">IF(H170=0,0,2*I170+Notes!$B$25*(H170-1))</f>
        <v>0</v>
      </c>
      <c r="K170" s="14" t="n">
        <f aca="false">IF(C170="Matador",J170/Notes!$B$21*Notes!$B$22,J170/Notes!$B$23*Notes!$B$24)</f>
        <v>0</v>
      </c>
    </row>
    <row r="171" customFormat="false" ht="15" hidden="false" customHeight="false" outlineLevel="0" collapsed="false">
      <c r="A171" s="12" t="n">
        <v>45436</v>
      </c>
      <c r="B171" s="5" t="s">
        <v>114</v>
      </c>
      <c r="C171" s="5" t="s">
        <v>151</v>
      </c>
      <c r="D171" s="5" t="n">
        <f aca="false">COUNTIFS('Pickup log'!$K$2:$K$225,A171,'Pickup log'!$D$2:$D$225,B171,'Pickup log'!$G$2:$G$225,C171)</f>
        <v>2</v>
      </c>
      <c r="E171" s="5" t="n">
        <f aca="false">IF(D171=0,0,_xlfn.MAXIFS('Pickup log'!$H$2:$H$225,'Pickup log'!$K$2:$K$225,A171,'Pickup log'!$D$2:$D$225,B171,'Pickup log'!$G$2:$G$225,C171))</f>
        <v>18</v>
      </c>
      <c r="F171" s="5" t="n">
        <f aca="false">IF(D171=0,0,2*E171+Notes!$B$25*(D171-1))</f>
        <v>38</v>
      </c>
      <c r="G171" s="14" t="n">
        <f aca="false">IF(C171="Matador",F171/Notes!$B$21*Notes!$B$22,F171/Notes!$B$23*Notes!$B$24)</f>
        <v>204.08375</v>
      </c>
      <c r="H171" s="5" t="n">
        <f aca="false">COUNTIFS('Pickup log'!$K$2:$K$225,A171,'Pickup log'!$D$2:$D$225,B171,'Pickup log'!$G$2:$G$225,C171,'Pickup log'!$E$2:$E$225,"Economy")</f>
        <v>1</v>
      </c>
      <c r="I171" s="5" t="n">
        <f aca="false">IF(H171=0,0,_xlfn.MAXIFS('Pickup log'!$H$2:$H$225,'Pickup log'!$K$2:$K$225,A171,'Pickup log'!$D$2:$D$225,B171,'Pickup log'!$G$2:$G$225,C171,'Pickup log'!$E$2:$E$225,"Economy"))</f>
        <v>18</v>
      </c>
      <c r="J171" s="5" t="n">
        <f aca="false">IF(H171=0,0,2*I171+Notes!$B$25*(H171-1))</f>
        <v>36</v>
      </c>
      <c r="K171" s="14" t="n">
        <f aca="false">IF(C171="Matador",J171/Notes!$B$21*Notes!$B$22,J171/Notes!$B$23*Notes!$B$24)</f>
        <v>193.3425</v>
      </c>
    </row>
    <row r="172" customFormat="false" ht="15" hidden="false" customHeight="false" outlineLevel="0" collapsed="false">
      <c r="A172" s="12" t="n">
        <v>45437</v>
      </c>
      <c r="B172" s="5" t="s">
        <v>56</v>
      </c>
      <c r="C172" s="5" t="s">
        <v>150</v>
      </c>
      <c r="D172" s="5" t="n">
        <f aca="false">COUNTIFS('Pickup log'!$K$2:$K$225,A172,'Pickup log'!$D$2:$D$225,B172,'Pickup log'!$G$2:$G$225,C172)</f>
        <v>0</v>
      </c>
      <c r="E172" s="5" t="n">
        <f aca="false">IF(D172=0,0,_xlfn.MAXIFS('Pickup log'!$H$2:$H$225,'Pickup log'!$K$2:$K$225,A172,'Pickup log'!$D$2:$D$225,B172,'Pickup log'!$G$2:$G$225,C172))</f>
        <v>0</v>
      </c>
      <c r="F172" s="5" t="n">
        <f aca="false">IF(D172=0,0,2*E172+Notes!$B$25*(D172-1))</f>
        <v>0</v>
      </c>
      <c r="G172" s="14" t="n">
        <f aca="false">IF(C172="Matador",F172/Notes!$B$21*Notes!$B$22,F172/Notes!$B$23*Notes!$B$24)</f>
        <v>0</v>
      </c>
      <c r="H172" s="5" t="n">
        <f aca="false">COUNTIFS('Pickup log'!$K$2:$K$225,A172,'Pickup log'!$D$2:$D$225,B172,'Pickup log'!$G$2:$G$225,C172,'Pickup log'!$E$2:$E$225,"Economy")</f>
        <v>0</v>
      </c>
      <c r="I172" s="5" t="n">
        <f aca="false">IF(H172=0,0,_xlfn.MAXIFS('Pickup log'!$H$2:$H$225,'Pickup log'!$K$2:$K$225,A172,'Pickup log'!$D$2:$D$225,B172,'Pickup log'!$G$2:$G$225,C172,'Pickup log'!$E$2:$E$225,"Economy"))</f>
        <v>0</v>
      </c>
      <c r="J172" s="5" t="n">
        <f aca="false">IF(H172=0,0,2*I172+Notes!$B$25*(H172-1))</f>
        <v>0</v>
      </c>
      <c r="K172" s="14" t="n">
        <f aca="false">IF(C172="Matador",J172/Notes!$B$21*Notes!$B$22,J172/Notes!$B$23*Notes!$B$24)</f>
        <v>0</v>
      </c>
    </row>
    <row r="173" customFormat="false" ht="15" hidden="false" customHeight="false" outlineLevel="0" collapsed="false">
      <c r="A173" s="12" t="n">
        <v>45437</v>
      </c>
      <c r="B173" s="5" t="s">
        <v>56</v>
      </c>
      <c r="C173" s="5" t="s">
        <v>151</v>
      </c>
      <c r="D173" s="5" t="n">
        <f aca="false">COUNTIFS('Pickup log'!$K$2:$K$225,A173,'Pickup log'!$D$2:$D$225,B173,'Pickup log'!$G$2:$G$225,C173)</f>
        <v>0</v>
      </c>
      <c r="E173" s="5" t="n">
        <f aca="false">IF(D173=0,0,_xlfn.MAXIFS('Pickup log'!$H$2:$H$225,'Pickup log'!$K$2:$K$225,A173,'Pickup log'!$D$2:$D$225,B173,'Pickup log'!$G$2:$G$225,C173))</f>
        <v>0</v>
      </c>
      <c r="F173" s="5" t="n">
        <f aca="false">IF(D173=0,0,2*E173+Notes!$B$25*(D173-1))</f>
        <v>0</v>
      </c>
      <c r="G173" s="14" t="n">
        <f aca="false">IF(C173="Matador",F173/Notes!$B$21*Notes!$B$22,F173/Notes!$B$23*Notes!$B$24)</f>
        <v>0</v>
      </c>
      <c r="H173" s="5" t="n">
        <f aca="false">COUNTIFS('Pickup log'!$K$2:$K$225,A173,'Pickup log'!$D$2:$D$225,B173,'Pickup log'!$G$2:$G$225,C173,'Pickup log'!$E$2:$E$225,"Economy")</f>
        <v>0</v>
      </c>
      <c r="I173" s="5" t="n">
        <f aca="false">IF(H173=0,0,_xlfn.MAXIFS('Pickup log'!$H$2:$H$225,'Pickup log'!$K$2:$K$225,A173,'Pickup log'!$D$2:$D$225,B173,'Pickup log'!$G$2:$G$225,C173,'Pickup log'!$E$2:$E$225,"Economy"))</f>
        <v>0</v>
      </c>
      <c r="J173" s="5" t="n">
        <f aca="false">IF(H173=0,0,2*I173+Notes!$B$25*(H173-1))</f>
        <v>0</v>
      </c>
      <c r="K173" s="14" t="n">
        <f aca="false">IF(C173="Matador",J173/Notes!$B$21*Notes!$B$22,J173/Notes!$B$23*Notes!$B$24)</f>
        <v>0</v>
      </c>
    </row>
    <row r="174" customFormat="false" ht="15" hidden="false" customHeight="false" outlineLevel="0" collapsed="false">
      <c r="A174" s="12" t="n">
        <v>45437</v>
      </c>
      <c r="B174" s="5" t="s">
        <v>73</v>
      </c>
      <c r="C174" s="5" t="s">
        <v>150</v>
      </c>
      <c r="D174" s="5" t="n">
        <f aca="false">COUNTIFS('Pickup log'!$K$2:$K$225,A174,'Pickup log'!$D$2:$D$225,B174,'Pickup log'!$G$2:$G$225,C174)</f>
        <v>2</v>
      </c>
      <c r="E174" s="5" t="n">
        <f aca="false">IF(D174=0,0,_xlfn.MAXIFS('Pickup log'!$H$2:$H$225,'Pickup log'!$K$2:$K$225,A174,'Pickup log'!$D$2:$D$225,B174,'Pickup log'!$G$2:$G$225,C174))</f>
        <v>4.5</v>
      </c>
      <c r="F174" s="5" t="n">
        <f aca="false">IF(D174=0,0,2*E174+Notes!$B$25*(D174-1))</f>
        <v>11</v>
      </c>
      <c r="G174" s="14" t="n">
        <f aca="false">IF(C174="Matador",F174/Notes!$B$21*Notes!$B$22,F174/Notes!$B$23*Notes!$B$24)</f>
        <v>24.4053333333333</v>
      </c>
      <c r="H174" s="5" t="n">
        <f aca="false">COUNTIFS('Pickup log'!$K$2:$K$225,A174,'Pickup log'!$D$2:$D$225,B174,'Pickup log'!$G$2:$G$225,C174,'Pickup log'!$E$2:$E$225,"Economy")</f>
        <v>1</v>
      </c>
      <c r="I174" s="5" t="n">
        <f aca="false">IF(H174=0,0,_xlfn.MAXIFS('Pickup log'!$H$2:$H$225,'Pickup log'!$K$2:$K$225,A174,'Pickup log'!$D$2:$D$225,B174,'Pickup log'!$G$2:$G$225,C174,'Pickup log'!$E$2:$E$225,"Economy"))</f>
        <v>2.5</v>
      </c>
      <c r="J174" s="5" t="n">
        <f aca="false">IF(H174=0,0,2*I174+Notes!$B$25*(H174-1))</f>
        <v>5</v>
      </c>
      <c r="K174" s="14" t="n">
        <f aca="false">IF(C174="Matador",J174/Notes!$B$21*Notes!$B$22,J174/Notes!$B$23*Notes!$B$24)</f>
        <v>11.0933333333333</v>
      </c>
    </row>
    <row r="175" customFormat="false" ht="15" hidden="false" customHeight="false" outlineLevel="0" collapsed="false">
      <c r="A175" s="12" t="n">
        <v>45437</v>
      </c>
      <c r="B175" s="5" t="s">
        <v>73</v>
      </c>
      <c r="C175" s="5" t="s">
        <v>151</v>
      </c>
      <c r="D175" s="5" t="n">
        <f aca="false">COUNTIFS('Pickup log'!$K$2:$K$225,A175,'Pickup log'!$D$2:$D$225,B175,'Pickup log'!$G$2:$G$225,C175)</f>
        <v>4</v>
      </c>
      <c r="E175" s="5" t="n">
        <f aca="false">IF(D175=0,0,_xlfn.MAXIFS('Pickup log'!$H$2:$H$225,'Pickup log'!$K$2:$K$225,A175,'Pickup log'!$D$2:$D$225,B175,'Pickup log'!$G$2:$G$225,C175))</f>
        <v>9.5</v>
      </c>
      <c r="F175" s="5" t="n">
        <f aca="false">IF(D175=0,0,2*E175+Notes!$B$25*(D175-1))</f>
        <v>25</v>
      </c>
      <c r="G175" s="14" t="n">
        <f aca="false">IF(C175="Matador",F175/Notes!$B$21*Notes!$B$22,F175/Notes!$B$23*Notes!$B$24)</f>
        <v>134.265625</v>
      </c>
      <c r="H175" s="5" t="n">
        <f aca="false">COUNTIFS('Pickup log'!$K$2:$K$225,A175,'Pickup log'!$D$2:$D$225,B175,'Pickup log'!$G$2:$G$225,C175,'Pickup log'!$E$2:$E$225,"Economy")</f>
        <v>3</v>
      </c>
      <c r="I175" s="5" t="n">
        <f aca="false">IF(H175=0,0,_xlfn.MAXIFS('Pickup log'!$H$2:$H$225,'Pickup log'!$K$2:$K$225,A175,'Pickup log'!$D$2:$D$225,B175,'Pickup log'!$G$2:$G$225,C175,'Pickup log'!$E$2:$E$225,"Economy"))</f>
        <v>9.5</v>
      </c>
      <c r="J175" s="5" t="n">
        <f aca="false">IF(H175=0,0,2*I175+Notes!$B$25*(H175-1))</f>
        <v>23</v>
      </c>
      <c r="K175" s="14" t="n">
        <f aca="false">IF(C175="Matador",J175/Notes!$B$21*Notes!$B$22,J175/Notes!$B$23*Notes!$B$24)</f>
        <v>123.524375</v>
      </c>
    </row>
    <row r="176" customFormat="false" ht="15" hidden="false" customHeight="false" outlineLevel="0" collapsed="false">
      <c r="A176" s="12" t="n">
        <v>45437</v>
      </c>
      <c r="B176" s="5" t="s">
        <v>90</v>
      </c>
      <c r="C176" s="5" t="s">
        <v>150</v>
      </c>
      <c r="D176" s="5" t="n">
        <f aca="false">COUNTIFS('Pickup log'!$K$2:$K$225,A176,'Pickup log'!$D$2:$D$225,B176,'Pickup log'!$G$2:$G$225,C176)</f>
        <v>0</v>
      </c>
      <c r="E176" s="5" t="n">
        <f aca="false">IF(D176=0,0,_xlfn.MAXIFS('Pickup log'!$H$2:$H$225,'Pickup log'!$K$2:$K$225,A176,'Pickup log'!$D$2:$D$225,B176,'Pickup log'!$G$2:$G$225,C176))</f>
        <v>0</v>
      </c>
      <c r="F176" s="5" t="n">
        <f aca="false">IF(D176=0,0,2*E176+Notes!$B$25*(D176-1))</f>
        <v>0</v>
      </c>
      <c r="G176" s="14" t="n">
        <f aca="false">IF(C176="Matador",F176/Notes!$B$21*Notes!$B$22,F176/Notes!$B$23*Notes!$B$24)</f>
        <v>0</v>
      </c>
      <c r="H176" s="5" t="n">
        <f aca="false">COUNTIFS('Pickup log'!$K$2:$K$225,A176,'Pickup log'!$D$2:$D$225,B176,'Pickup log'!$G$2:$G$225,C176,'Pickup log'!$E$2:$E$225,"Economy")</f>
        <v>0</v>
      </c>
      <c r="I176" s="5" t="n">
        <f aca="false">IF(H176=0,0,_xlfn.MAXIFS('Pickup log'!$H$2:$H$225,'Pickup log'!$K$2:$K$225,A176,'Pickup log'!$D$2:$D$225,B176,'Pickup log'!$G$2:$G$225,C176,'Pickup log'!$E$2:$E$225,"Economy"))</f>
        <v>0</v>
      </c>
      <c r="J176" s="5" t="n">
        <f aca="false">IF(H176=0,0,2*I176+Notes!$B$25*(H176-1))</f>
        <v>0</v>
      </c>
      <c r="K176" s="14" t="n">
        <f aca="false">IF(C176="Matador",J176/Notes!$B$21*Notes!$B$22,J176/Notes!$B$23*Notes!$B$24)</f>
        <v>0</v>
      </c>
    </row>
    <row r="177" customFormat="false" ht="15" hidden="false" customHeight="false" outlineLevel="0" collapsed="false">
      <c r="A177" s="12" t="n">
        <v>45437</v>
      </c>
      <c r="B177" s="5" t="s">
        <v>90</v>
      </c>
      <c r="C177" s="5" t="s">
        <v>151</v>
      </c>
      <c r="D177" s="5" t="n">
        <f aca="false">COUNTIFS('Pickup log'!$K$2:$K$225,A177,'Pickup log'!$D$2:$D$225,B177,'Pickup log'!$G$2:$G$225,C177)</f>
        <v>0</v>
      </c>
      <c r="E177" s="5" t="n">
        <f aca="false">IF(D177=0,0,_xlfn.MAXIFS('Pickup log'!$H$2:$H$225,'Pickup log'!$K$2:$K$225,A177,'Pickup log'!$D$2:$D$225,B177,'Pickup log'!$G$2:$G$225,C177))</f>
        <v>0</v>
      </c>
      <c r="F177" s="5" t="n">
        <f aca="false">IF(D177=0,0,2*E177+Notes!$B$25*(D177-1))</f>
        <v>0</v>
      </c>
      <c r="G177" s="14" t="n">
        <f aca="false">IF(C177="Matador",F177/Notes!$B$21*Notes!$B$22,F177/Notes!$B$23*Notes!$B$24)</f>
        <v>0</v>
      </c>
      <c r="H177" s="5" t="n">
        <f aca="false">COUNTIFS('Pickup log'!$K$2:$K$225,A177,'Pickup log'!$D$2:$D$225,B177,'Pickup log'!$G$2:$G$225,C177,'Pickup log'!$E$2:$E$225,"Economy")</f>
        <v>0</v>
      </c>
      <c r="I177" s="5" t="n">
        <f aca="false">IF(H177=0,0,_xlfn.MAXIFS('Pickup log'!$H$2:$H$225,'Pickup log'!$K$2:$K$225,A177,'Pickup log'!$D$2:$D$225,B177,'Pickup log'!$G$2:$G$225,C177,'Pickup log'!$E$2:$E$225,"Economy"))</f>
        <v>0</v>
      </c>
      <c r="J177" s="5" t="n">
        <f aca="false">IF(H177=0,0,2*I177+Notes!$B$25*(H177-1))</f>
        <v>0</v>
      </c>
      <c r="K177" s="14" t="n">
        <f aca="false">IF(C177="Matador",J177/Notes!$B$21*Notes!$B$22,J177/Notes!$B$23*Notes!$B$24)</f>
        <v>0</v>
      </c>
    </row>
    <row r="178" customFormat="false" ht="15" hidden="false" customHeight="false" outlineLevel="0" collapsed="false">
      <c r="A178" s="12" t="n">
        <v>45437</v>
      </c>
      <c r="B178" s="5" t="s">
        <v>101</v>
      </c>
      <c r="C178" s="5" t="s">
        <v>150</v>
      </c>
      <c r="D178" s="5" t="n">
        <f aca="false">COUNTIFS('Pickup log'!$K$2:$K$225,A178,'Pickup log'!$D$2:$D$225,B178,'Pickup log'!$G$2:$G$225,C178)</f>
        <v>1</v>
      </c>
      <c r="E178" s="5" t="n">
        <f aca="false">IF(D178=0,0,_xlfn.MAXIFS('Pickup log'!$H$2:$H$225,'Pickup log'!$K$2:$K$225,A178,'Pickup log'!$D$2:$D$225,B178,'Pickup log'!$G$2:$G$225,C178))</f>
        <v>14.5</v>
      </c>
      <c r="F178" s="5" t="n">
        <f aca="false">IF(D178=0,0,2*E178+Notes!$B$25*(D178-1))</f>
        <v>29</v>
      </c>
      <c r="G178" s="14" t="n">
        <f aca="false">IF(C178="Matador",F178/Notes!$B$21*Notes!$B$22,F178/Notes!$B$23*Notes!$B$24)</f>
        <v>64.3413333333333</v>
      </c>
      <c r="H178" s="5" t="n">
        <f aca="false">COUNTIFS('Pickup log'!$K$2:$K$225,A178,'Pickup log'!$D$2:$D$225,B178,'Pickup log'!$G$2:$G$225,C178,'Pickup log'!$E$2:$E$225,"Economy")</f>
        <v>0</v>
      </c>
      <c r="I178" s="5" t="n">
        <f aca="false">IF(H178=0,0,_xlfn.MAXIFS('Pickup log'!$H$2:$H$225,'Pickup log'!$K$2:$K$225,A178,'Pickup log'!$D$2:$D$225,B178,'Pickup log'!$G$2:$G$225,C178,'Pickup log'!$E$2:$E$225,"Economy"))</f>
        <v>0</v>
      </c>
      <c r="J178" s="5" t="n">
        <f aca="false">IF(H178=0,0,2*I178+Notes!$B$25*(H178-1))</f>
        <v>0</v>
      </c>
      <c r="K178" s="14" t="n">
        <f aca="false">IF(C178="Matador",J178/Notes!$B$21*Notes!$B$22,J178/Notes!$B$23*Notes!$B$24)</f>
        <v>0</v>
      </c>
    </row>
    <row r="179" customFormat="false" ht="15" hidden="false" customHeight="false" outlineLevel="0" collapsed="false">
      <c r="A179" s="12" t="n">
        <v>45437</v>
      </c>
      <c r="B179" s="5" t="s">
        <v>101</v>
      </c>
      <c r="C179" s="5" t="s">
        <v>151</v>
      </c>
      <c r="D179" s="5" t="n">
        <f aca="false">COUNTIFS('Pickup log'!$K$2:$K$225,A179,'Pickup log'!$D$2:$D$225,B179,'Pickup log'!$G$2:$G$225,C179)</f>
        <v>1</v>
      </c>
      <c r="E179" s="5" t="n">
        <f aca="false">IF(D179=0,0,_xlfn.MAXIFS('Pickup log'!$H$2:$H$225,'Pickup log'!$K$2:$K$225,A179,'Pickup log'!$D$2:$D$225,B179,'Pickup log'!$G$2:$G$225,C179))</f>
        <v>10.5</v>
      </c>
      <c r="F179" s="5" t="n">
        <f aca="false">IF(D179=0,0,2*E179+Notes!$B$25*(D179-1))</f>
        <v>21</v>
      </c>
      <c r="G179" s="14" t="n">
        <f aca="false">IF(C179="Matador",F179/Notes!$B$21*Notes!$B$22,F179/Notes!$B$23*Notes!$B$24)</f>
        <v>112.783125</v>
      </c>
      <c r="H179" s="5" t="n">
        <f aca="false">COUNTIFS('Pickup log'!$K$2:$K$225,A179,'Pickup log'!$D$2:$D$225,B179,'Pickup log'!$G$2:$G$225,C179,'Pickup log'!$E$2:$E$225,"Economy")</f>
        <v>0</v>
      </c>
      <c r="I179" s="5" t="n">
        <f aca="false">IF(H179=0,0,_xlfn.MAXIFS('Pickup log'!$H$2:$H$225,'Pickup log'!$K$2:$K$225,A179,'Pickup log'!$D$2:$D$225,B179,'Pickup log'!$G$2:$G$225,C179,'Pickup log'!$E$2:$E$225,"Economy"))</f>
        <v>0</v>
      </c>
      <c r="J179" s="5" t="n">
        <f aca="false">IF(H179=0,0,2*I179+Notes!$B$25*(H179-1))</f>
        <v>0</v>
      </c>
      <c r="K179" s="14" t="n">
        <f aca="false">IF(C179="Matador",J179/Notes!$B$21*Notes!$B$22,J179/Notes!$B$23*Notes!$B$24)</f>
        <v>0</v>
      </c>
    </row>
    <row r="180" customFormat="false" ht="15" hidden="false" customHeight="false" outlineLevel="0" collapsed="false">
      <c r="A180" s="12" t="n">
        <v>45437</v>
      </c>
      <c r="B180" s="5" t="s">
        <v>114</v>
      </c>
      <c r="C180" s="5" t="s">
        <v>150</v>
      </c>
      <c r="D180" s="5" t="n">
        <f aca="false">COUNTIFS('Pickup log'!$K$2:$K$225,A180,'Pickup log'!$D$2:$D$225,B180,'Pickup log'!$G$2:$G$225,C180)</f>
        <v>0</v>
      </c>
      <c r="E180" s="5" t="n">
        <f aca="false">IF(D180=0,0,_xlfn.MAXIFS('Pickup log'!$H$2:$H$225,'Pickup log'!$K$2:$K$225,A180,'Pickup log'!$D$2:$D$225,B180,'Pickup log'!$G$2:$G$225,C180))</f>
        <v>0</v>
      </c>
      <c r="F180" s="5" t="n">
        <f aca="false">IF(D180=0,0,2*E180+Notes!$B$25*(D180-1))</f>
        <v>0</v>
      </c>
      <c r="G180" s="14" t="n">
        <f aca="false">IF(C180="Matador",F180/Notes!$B$21*Notes!$B$22,F180/Notes!$B$23*Notes!$B$24)</f>
        <v>0</v>
      </c>
      <c r="H180" s="5" t="n">
        <f aca="false">COUNTIFS('Pickup log'!$K$2:$K$225,A180,'Pickup log'!$D$2:$D$225,B180,'Pickup log'!$G$2:$G$225,C180,'Pickup log'!$E$2:$E$225,"Economy")</f>
        <v>0</v>
      </c>
      <c r="I180" s="5" t="n">
        <f aca="false">IF(H180=0,0,_xlfn.MAXIFS('Pickup log'!$H$2:$H$225,'Pickup log'!$K$2:$K$225,A180,'Pickup log'!$D$2:$D$225,B180,'Pickup log'!$G$2:$G$225,C180,'Pickup log'!$E$2:$E$225,"Economy"))</f>
        <v>0</v>
      </c>
      <c r="J180" s="5" t="n">
        <f aca="false">IF(H180=0,0,2*I180+Notes!$B$25*(H180-1))</f>
        <v>0</v>
      </c>
      <c r="K180" s="14" t="n">
        <f aca="false">IF(C180="Matador",J180/Notes!$B$21*Notes!$B$22,J180/Notes!$B$23*Notes!$B$24)</f>
        <v>0</v>
      </c>
    </row>
    <row r="181" customFormat="false" ht="15" hidden="false" customHeight="false" outlineLevel="0" collapsed="false">
      <c r="A181" s="12" t="n">
        <v>45437</v>
      </c>
      <c r="B181" s="5" t="s">
        <v>114</v>
      </c>
      <c r="C181" s="5" t="s">
        <v>151</v>
      </c>
      <c r="D181" s="5" t="n">
        <f aca="false">COUNTIFS('Pickup log'!$K$2:$K$225,A181,'Pickup log'!$D$2:$D$225,B181,'Pickup log'!$G$2:$G$225,C181)</f>
        <v>0</v>
      </c>
      <c r="E181" s="5" t="n">
        <f aca="false">IF(D181=0,0,_xlfn.MAXIFS('Pickup log'!$H$2:$H$225,'Pickup log'!$K$2:$K$225,A181,'Pickup log'!$D$2:$D$225,B181,'Pickup log'!$G$2:$G$225,C181))</f>
        <v>0</v>
      </c>
      <c r="F181" s="5" t="n">
        <f aca="false">IF(D181=0,0,2*E181+Notes!$B$25*(D181-1))</f>
        <v>0</v>
      </c>
      <c r="G181" s="14" t="n">
        <f aca="false">IF(C181="Matador",F181/Notes!$B$21*Notes!$B$22,F181/Notes!$B$23*Notes!$B$24)</f>
        <v>0</v>
      </c>
      <c r="H181" s="5" t="n">
        <f aca="false">COUNTIFS('Pickup log'!$K$2:$K$225,A181,'Pickup log'!$D$2:$D$225,B181,'Pickup log'!$G$2:$G$225,C181,'Pickup log'!$E$2:$E$225,"Economy")</f>
        <v>0</v>
      </c>
      <c r="I181" s="5" t="n">
        <f aca="false">IF(H181=0,0,_xlfn.MAXIFS('Pickup log'!$H$2:$H$225,'Pickup log'!$K$2:$K$225,A181,'Pickup log'!$D$2:$D$225,B181,'Pickup log'!$G$2:$G$225,C181,'Pickup log'!$E$2:$E$225,"Economy"))</f>
        <v>0</v>
      </c>
      <c r="J181" s="5" t="n">
        <f aca="false">IF(H181=0,0,2*I181+Notes!$B$25*(H181-1))</f>
        <v>0</v>
      </c>
      <c r="K181" s="14" t="n">
        <f aca="false">IF(C181="Matador",J181/Notes!$B$21*Notes!$B$22,J181/Notes!$B$23*Notes!$B$24)</f>
        <v>0</v>
      </c>
    </row>
    <row r="182" customFormat="false" ht="15" hidden="false" customHeight="false" outlineLevel="0" collapsed="false">
      <c r="A182" s="12" t="n">
        <v>45439</v>
      </c>
      <c r="B182" s="5" t="s">
        <v>56</v>
      </c>
      <c r="C182" s="5" t="s">
        <v>150</v>
      </c>
      <c r="D182" s="5" t="n">
        <f aca="false">COUNTIFS('Pickup log'!$K$2:$K$225,A182,'Pickup log'!$D$2:$D$225,B182,'Pickup log'!$G$2:$G$225,C182)</f>
        <v>0</v>
      </c>
      <c r="E182" s="5" t="n">
        <f aca="false">IF(D182=0,0,_xlfn.MAXIFS('Pickup log'!$H$2:$H$225,'Pickup log'!$K$2:$K$225,A182,'Pickup log'!$D$2:$D$225,B182,'Pickup log'!$G$2:$G$225,C182))</f>
        <v>0</v>
      </c>
      <c r="F182" s="5" t="n">
        <f aca="false">IF(D182=0,0,2*E182+Notes!$B$25*(D182-1))</f>
        <v>0</v>
      </c>
      <c r="G182" s="14" t="n">
        <f aca="false">IF(C182="Matador",F182/Notes!$B$21*Notes!$B$22,F182/Notes!$B$23*Notes!$B$24)</f>
        <v>0</v>
      </c>
      <c r="H182" s="5" t="n">
        <f aca="false">COUNTIFS('Pickup log'!$K$2:$K$225,A182,'Pickup log'!$D$2:$D$225,B182,'Pickup log'!$G$2:$G$225,C182,'Pickup log'!$E$2:$E$225,"Economy")</f>
        <v>0</v>
      </c>
      <c r="I182" s="5" t="n">
        <f aca="false">IF(H182=0,0,_xlfn.MAXIFS('Pickup log'!$H$2:$H$225,'Pickup log'!$K$2:$K$225,A182,'Pickup log'!$D$2:$D$225,B182,'Pickup log'!$G$2:$G$225,C182,'Pickup log'!$E$2:$E$225,"Economy"))</f>
        <v>0</v>
      </c>
      <c r="J182" s="5" t="n">
        <f aca="false">IF(H182=0,0,2*I182+Notes!$B$25*(H182-1))</f>
        <v>0</v>
      </c>
      <c r="K182" s="14" t="n">
        <f aca="false">IF(C182="Matador",J182/Notes!$B$21*Notes!$B$22,J182/Notes!$B$23*Notes!$B$24)</f>
        <v>0</v>
      </c>
    </row>
    <row r="183" customFormat="false" ht="15" hidden="false" customHeight="false" outlineLevel="0" collapsed="false">
      <c r="A183" s="12" t="n">
        <v>45439</v>
      </c>
      <c r="B183" s="5" t="s">
        <v>56</v>
      </c>
      <c r="C183" s="5" t="s">
        <v>151</v>
      </c>
      <c r="D183" s="5" t="n">
        <f aca="false">COUNTIFS('Pickup log'!$K$2:$K$225,A183,'Pickup log'!$D$2:$D$225,B183,'Pickup log'!$G$2:$G$225,C183)</f>
        <v>0</v>
      </c>
      <c r="E183" s="5" t="n">
        <f aca="false">IF(D183=0,0,_xlfn.MAXIFS('Pickup log'!$H$2:$H$225,'Pickup log'!$K$2:$K$225,A183,'Pickup log'!$D$2:$D$225,B183,'Pickup log'!$G$2:$G$225,C183))</f>
        <v>0</v>
      </c>
      <c r="F183" s="5" t="n">
        <f aca="false">IF(D183=0,0,2*E183+Notes!$B$25*(D183-1))</f>
        <v>0</v>
      </c>
      <c r="G183" s="14" t="n">
        <f aca="false">IF(C183="Matador",F183/Notes!$B$21*Notes!$B$22,F183/Notes!$B$23*Notes!$B$24)</f>
        <v>0</v>
      </c>
      <c r="H183" s="5" t="n">
        <f aca="false">COUNTIFS('Pickup log'!$K$2:$K$225,A183,'Pickup log'!$D$2:$D$225,B183,'Pickup log'!$G$2:$G$225,C183,'Pickup log'!$E$2:$E$225,"Economy")</f>
        <v>0</v>
      </c>
      <c r="I183" s="5" t="n">
        <f aca="false">IF(H183=0,0,_xlfn.MAXIFS('Pickup log'!$H$2:$H$225,'Pickup log'!$K$2:$K$225,A183,'Pickup log'!$D$2:$D$225,B183,'Pickup log'!$G$2:$G$225,C183,'Pickup log'!$E$2:$E$225,"Economy"))</f>
        <v>0</v>
      </c>
      <c r="J183" s="5" t="n">
        <f aca="false">IF(H183=0,0,2*I183+Notes!$B$25*(H183-1))</f>
        <v>0</v>
      </c>
      <c r="K183" s="14" t="n">
        <f aca="false">IF(C183="Matador",J183/Notes!$B$21*Notes!$B$22,J183/Notes!$B$23*Notes!$B$24)</f>
        <v>0</v>
      </c>
    </row>
    <row r="184" customFormat="false" ht="15" hidden="false" customHeight="false" outlineLevel="0" collapsed="false">
      <c r="A184" s="12" t="n">
        <v>45439</v>
      </c>
      <c r="B184" s="5" t="s">
        <v>73</v>
      </c>
      <c r="C184" s="5" t="s">
        <v>150</v>
      </c>
      <c r="D184" s="5" t="n">
        <f aca="false">COUNTIFS('Pickup log'!$K$2:$K$225,A184,'Pickup log'!$D$2:$D$225,B184,'Pickup log'!$G$2:$G$225,C184)</f>
        <v>2</v>
      </c>
      <c r="E184" s="5" t="n">
        <f aca="false">IF(D184=0,0,_xlfn.MAXIFS('Pickup log'!$H$2:$H$225,'Pickup log'!$K$2:$K$225,A184,'Pickup log'!$D$2:$D$225,B184,'Pickup log'!$G$2:$G$225,C184))</f>
        <v>4.5</v>
      </c>
      <c r="F184" s="5" t="n">
        <f aca="false">IF(D184=0,0,2*E184+Notes!$B$25*(D184-1))</f>
        <v>11</v>
      </c>
      <c r="G184" s="14" t="n">
        <f aca="false">IF(C184="Matador",F184/Notes!$B$21*Notes!$B$22,F184/Notes!$B$23*Notes!$B$24)</f>
        <v>24.4053333333333</v>
      </c>
      <c r="H184" s="5" t="n">
        <f aca="false">COUNTIFS('Pickup log'!$K$2:$K$225,A184,'Pickup log'!$D$2:$D$225,B184,'Pickup log'!$G$2:$G$225,C184,'Pickup log'!$E$2:$E$225,"Economy")</f>
        <v>0</v>
      </c>
      <c r="I184" s="5" t="n">
        <f aca="false">IF(H184=0,0,_xlfn.MAXIFS('Pickup log'!$H$2:$H$225,'Pickup log'!$K$2:$K$225,A184,'Pickup log'!$D$2:$D$225,B184,'Pickup log'!$G$2:$G$225,C184,'Pickup log'!$E$2:$E$225,"Economy"))</f>
        <v>0</v>
      </c>
      <c r="J184" s="5" t="n">
        <f aca="false">IF(H184=0,0,2*I184+Notes!$B$25*(H184-1))</f>
        <v>0</v>
      </c>
      <c r="K184" s="14" t="n">
        <f aca="false">IF(C184="Matador",J184/Notes!$B$21*Notes!$B$22,J184/Notes!$B$23*Notes!$B$24)</f>
        <v>0</v>
      </c>
    </row>
    <row r="185" customFormat="false" ht="15" hidden="false" customHeight="false" outlineLevel="0" collapsed="false">
      <c r="A185" s="12" t="n">
        <v>45439</v>
      </c>
      <c r="B185" s="5" t="s">
        <v>73</v>
      </c>
      <c r="C185" s="5" t="s">
        <v>151</v>
      </c>
      <c r="D185" s="5" t="n">
        <f aca="false">COUNTIFS('Pickup log'!$K$2:$K$225,A185,'Pickup log'!$D$2:$D$225,B185,'Pickup log'!$G$2:$G$225,C185)</f>
        <v>1</v>
      </c>
      <c r="E185" s="5" t="n">
        <f aca="false">IF(D185=0,0,_xlfn.MAXIFS('Pickup log'!$H$2:$H$225,'Pickup log'!$K$2:$K$225,A185,'Pickup log'!$D$2:$D$225,B185,'Pickup log'!$G$2:$G$225,C185))</f>
        <v>2.5</v>
      </c>
      <c r="F185" s="5" t="n">
        <f aca="false">IF(D185=0,0,2*E185+Notes!$B$25*(D185-1))</f>
        <v>5</v>
      </c>
      <c r="G185" s="14" t="n">
        <f aca="false">IF(C185="Matador",F185/Notes!$B$21*Notes!$B$22,F185/Notes!$B$23*Notes!$B$24)</f>
        <v>26.853125</v>
      </c>
      <c r="H185" s="5" t="n">
        <f aca="false">COUNTIFS('Pickup log'!$K$2:$K$225,A185,'Pickup log'!$D$2:$D$225,B185,'Pickup log'!$G$2:$G$225,C185,'Pickup log'!$E$2:$E$225,"Economy")</f>
        <v>0</v>
      </c>
      <c r="I185" s="5" t="n">
        <f aca="false">IF(H185=0,0,_xlfn.MAXIFS('Pickup log'!$H$2:$H$225,'Pickup log'!$K$2:$K$225,A185,'Pickup log'!$D$2:$D$225,B185,'Pickup log'!$G$2:$G$225,C185,'Pickup log'!$E$2:$E$225,"Economy"))</f>
        <v>0</v>
      </c>
      <c r="J185" s="5" t="n">
        <f aca="false">IF(H185=0,0,2*I185+Notes!$B$25*(H185-1))</f>
        <v>0</v>
      </c>
      <c r="K185" s="14" t="n">
        <f aca="false">IF(C185="Matador",J185/Notes!$B$21*Notes!$B$22,J185/Notes!$B$23*Notes!$B$24)</f>
        <v>0</v>
      </c>
    </row>
    <row r="186" customFormat="false" ht="15" hidden="false" customHeight="false" outlineLevel="0" collapsed="false">
      <c r="A186" s="12" t="n">
        <v>45439</v>
      </c>
      <c r="B186" s="5" t="s">
        <v>90</v>
      </c>
      <c r="C186" s="5" t="s">
        <v>150</v>
      </c>
      <c r="D186" s="5" t="n">
        <f aca="false">COUNTIFS('Pickup log'!$K$2:$K$225,A186,'Pickup log'!$D$2:$D$225,B186,'Pickup log'!$G$2:$G$225,C186)</f>
        <v>1</v>
      </c>
      <c r="E186" s="5" t="n">
        <f aca="false">IF(D186=0,0,_xlfn.MAXIFS('Pickup log'!$H$2:$H$225,'Pickup log'!$K$2:$K$225,A186,'Pickup log'!$D$2:$D$225,B186,'Pickup log'!$G$2:$G$225,C186))</f>
        <v>6.5</v>
      </c>
      <c r="F186" s="5" t="n">
        <f aca="false">IF(D186=0,0,2*E186+Notes!$B$25*(D186-1))</f>
        <v>13</v>
      </c>
      <c r="G186" s="14" t="n">
        <f aca="false">IF(C186="Matador",F186/Notes!$B$21*Notes!$B$22,F186/Notes!$B$23*Notes!$B$24)</f>
        <v>28.8426666666667</v>
      </c>
      <c r="H186" s="5" t="n">
        <f aca="false">COUNTIFS('Pickup log'!$K$2:$K$225,A186,'Pickup log'!$D$2:$D$225,B186,'Pickup log'!$G$2:$G$225,C186,'Pickup log'!$E$2:$E$225,"Economy")</f>
        <v>0</v>
      </c>
      <c r="I186" s="5" t="n">
        <f aca="false">IF(H186=0,0,_xlfn.MAXIFS('Pickup log'!$H$2:$H$225,'Pickup log'!$K$2:$K$225,A186,'Pickup log'!$D$2:$D$225,B186,'Pickup log'!$G$2:$G$225,C186,'Pickup log'!$E$2:$E$225,"Economy"))</f>
        <v>0</v>
      </c>
      <c r="J186" s="5" t="n">
        <f aca="false">IF(H186=0,0,2*I186+Notes!$B$25*(H186-1))</f>
        <v>0</v>
      </c>
      <c r="K186" s="14" t="n">
        <f aca="false">IF(C186="Matador",J186/Notes!$B$21*Notes!$B$22,J186/Notes!$B$23*Notes!$B$24)</f>
        <v>0</v>
      </c>
    </row>
    <row r="187" customFormat="false" ht="15" hidden="false" customHeight="false" outlineLevel="0" collapsed="false">
      <c r="A187" s="12" t="n">
        <v>45439</v>
      </c>
      <c r="B187" s="5" t="s">
        <v>90</v>
      </c>
      <c r="C187" s="5" t="s">
        <v>151</v>
      </c>
      <c r="D187" s="5" t="n">
        <f aca="false">COUNTIFS('Pickup log'!$K$2:$K$225,A187,'Pickup log'!$D$2:$D$225,B187,'Pickup log'!$G$2:$G$225,C187)</f>
        <v>0</v>
      </c>
      <c r="E187" s="5" t="n">
        <f aca="false">IF(D187=0,0,_xlfn.MAXIFS('Pickup log'!$H$2:$H$225,'Pickup log'!$K$2:$K$225,A187,'Pickup log'!$D$2:$D$225,B187,'Pickup log'!$G$2:$G$225,C187))</f>
        <v>0</v>
      </c>
      <c r="F187" s="5" t="n">
        <f aca="false">IF(D187=0,0,2*E187+Notes!$B$25*(D187-1))</f>
        <v>0</v>
      </c>
      <c r="G187" s="14" t="n">
        <f aca="false">IF(C187="Matador",F187/Notes!$B$21*Notes!$B$22,F187/Notes!$B$23*Notes!$B$24)</f>
        <v>0</v>
      </c>
      <c r="H187" s="5" t="n">
        <f aca="false">COUNTIFS('Pickup log'!$K$2:$K$225,A187,'Pickup log'!$D$2:$D$225,B187,'Pickup log'!$G$2:$G$225,C187,'Pickup log'!$E$2:$E$225,"Economy")</f>
        <v>0</v>
      </c>
      <c r="I187" s="5" t="n">
        <f aca="false">IF(H187=0,0,_xlfn.MAXIFS('Pickup log'!$H$2:$H$225,'Pickup log'!$K$2:$K$225,A187,'Pickup log'!$D$2:$D$225,B187,'Pickup log'!$G$2:$G$225,C187,'Pickup log'!$E$2:$E$225,"Economy"))</f>
        <v>0</v>
      </c>
      <c r="J187" s="5" t="n">
        <f aca="false">IF(H187=0,0,2*I187+Notes!$B$25*(H187-1))</f>
        <v>0</v>
      </c>
      <c r="K187" s="14" t="n">
        <f aca="false">IF(C187="Matador",J187/Notes!$B$21*Notes!$B$22,J187/Notes!$B$23*Notes!$B$24)</f>
        <v>0</v>
      </c>
    </row>
    <row r="188" customFormat="false" ht="15" hidden="false" customHeight="false" outlineLevel="0" collapsed="false">
      <c r="A188" s="12" t="n">
        <v>45439</v>
      </c>
      <c r="B188" s="5" t="s">
        <v>101</v>
      </c>
      <c r="C188" s="5" t="s">
        <v>150</v>
      </c>
      <c r="D188" s="5" t="n">
        <f aca="false">COUNTIFS('Pickup log'!$K$2:$K$225,A188,'Pickup log'!$D$2:$D$225,B188,'Pickup log'!$G$2:$G$225,C188)</f>
        <v>1</v>
      </c>
      <c r="E188" s="5" t="n">
        <f aca="false">IF(D188=0,0,_xlfn.MAXIFS('Pickup log'!$H$2:$H$225,'Pickup log'!$K$2:$K$225,A188,'Pickup log'!$D$2:$D$225,B188,'Pickup log'!$G$2:$G$225,C188))</f>
        <v>6.5</v>
      </c>
      <c r="F188" s="5" t="n">
        <f aca="false">IF(D188=0,0,2*E188+Notes!$B$25*(D188-1))</f>
        <v>13</v>
      </c>
      <c r="G188" s="14" t="n">
        <f aca="false">IF(C188="Matador",F188/Notes!$B$21*Notes!$B$22,F188/Notes!$B$23*Notes!$B$24)</f>
        <v>28.8426666666667</v>
      </c>
      <c r="H188" s="5" t="n">
        <f aca="false">COUNTIFS('Pickup log'!$K$2:$K$225,A188,'Pickup log'!$D$2:$D$225,B188,'Pickup log'!$G$2:$G$225,C188,'Pickup log'!$E$2:$E$225,"Economy")</f>
        <v>1</v>
      </c>
      <c r="I188" s="5" t="n">
        <f aca="false">IF(H188=0,0,_xlfn.MAXIFS('Pickup log'!$H$2:$H$225,'Pickup log'!$K$2:$K$225,A188,'Pickup log'!$D$2:$D$225,B188,'Pickup log'!$G$2:$G$225,C188,'Pickup log'!$E$2:$E$225,"Economy"))</f>
        <v>6.5</v>
      </c>
      <c r="J188" s="5" t="n">
        <f aca="false">IF(H188=0,0,2*I188+Notes!$B$25*(H188-1))</f>
        <v>13</v>
      </c>
      <c r="K188" s="14" t="n">
        <f aca="false">IF(C188="Matador",J188/Notes!$B$21*Notes!$B$22,J188/Notes!$B$23*Notes!$B$24)</f>
        <v>28.8426666666667</v>
      </c>
    </row>
    <row r="189" customFormat="false" ht="15" hidden="false" customHeight="false" outlineLevel="0" collapsed="false">
      <c r="A189" s="12" t="n">
        <v>45439</v>
      </c>
      <c r="B189" s="5" t="s">
        <v>101</v>
      </c>
      <c r="C189" s="5" t="s">
        <v>151</v>
      </c>
      <c r="D189" s="5" t="n">
        <f aca="false">COUNTIFS('Pickup log'!$K$2:$K$225,A189,'Pickup log'!$D$2:$D$225,B189,'Pickup log'!$G$2:$G$225,C189)</f>
        <v>0</v>
      </c>
      <c r="E189" s="5" t="n">
        <f aca="false">IF(D189=0,0,_xlfn.MAXIFS('Pickup log'!$H$2:$H$225,'Pickup log'!$K$2:$K$225,A189,'Pickup log'!$D$2:$D$225,B189,'Pickup log'!$G$2:$G$225,C189))</f>
        <v>0</v>
      </c>
      <c r="F189" s="5" t="n">
        <f aca="false">IF(D189=0,0,2*E189+Notes!$B$25*(D189-1))</f>
        <v>0</v>
      </c>
      <c r="G189" s="14" t="n">
        <f aca="false">IF(C189="Matador",F189/Notes!$B$21*Notes!$B$22,F189/Notes!$B$23*Notes!$B$24)</f>
        <v>0</v>
      </c>
      <c r="H189" s="5" t="n">
        <f aca="false">COUNTIFS('Pickup log'!$K$2:$K$225,A189,'Pickup log'!$D$2:$D$225,B189,'Pickup log'!$G$2:$G$225,C189,'Pickup log'!$E$2:$E$225,"Economy")</f>
        <v>0</v>
      </c>
      <c r="I189" s="5" t="n">
        <f aca="false">IF(H189=0,0,_xlfn.MAXIFS('Pickup log'!$H$2:$H$225,'Pickup log'!$K$2:$K$225,A189,'Pickup log'!$D$2:$D$225,B189,'Pickup log'!$G$2:$G$225,C189,'Pickup log'!$E$2:$E$225,"Economy"))</f>
        <v>0</v>
      </c>
      <c r="J189" s="5" t="n">
        <f aca="false">IF(H189=0,0,2*I189+Notes!$B$25*(H189-1))</f>
        <v>0</v>
      </c>
      <c r="K189" s="14" t="n">
        <f aca="false">IF(C189="Matador",J189/Notes!$B$21*Notes!$B$22,J189/Notes!$B$23*Notes!$B$24)</f>
        <v>0</v>
      </c>
    </row>
    <row r="190" customFormat="false" ht="15" hidden="false" customHeight="false" outlineLevel="0" collapsed="false">
      <c r="A190" s="12" t="n">
        <v>45439</v>
      </c>
      <c r="B190" s="5" t="s">
        <v>114</v>
      </c>
      <c r="C190" s="5" t="s">
        <v>150</v>
      </c>
      <c r="D190" s="5" t="n">
        <f aca="false">COUNTIFS('Pickup log'!$K$2:$K$225,A190,'Pickup log'!$D$2:$D$225,B190,'Pickup log'!$G$2:$G$225,C190)</f>
        <v>0</v>
      </c>
      <c r="E190" s="5" t="n">
        <f aca="false">IF(D190=0,0,_xlfn.MAXIFS('Pickup log'!$H$2:$H$225,'Pickup log'!$K$2:$K$225,A190,'Pickup log'!$D$2:$D$225,B190,'Pickup log'!$G$2:$G$225,C190))</f>
        <v>0</v>
      </c>
      <c r="F190" s="5" t="n">
        <f aca="false">IF(D190=0,0,2*E190+Notes!$B$25*(D190-1))</f>
        <v>0</v>
      </c>
      <c r="G190" s="14" t="n">
        <f aca="false">IF(C190="Matador",F190/Notes!$B$21*Notes!$B$22,F190/Notes!$B$23*Notes!$B$24)</f>
        <v>0</v>
      </c>
      <c r="H190" s="5" t="n">
        <f aca="false">COUNTIFS('Pickup log'!$K$2:$K$225,A190,'Pickup log'!$D$2:$D$225,B190,'Pickup log'!$G$2:$G$225,C190,'Pickup log'!$E$2:$E$225,"Economy")</f>
        <v>0</v>
      </c>
      <c r="I190" s="5" t="n">
        <f aca="false">IF(H190=0,0,_xlfn.MAXIFS('Pickup log'!$H$2:$H$225,'Pickup log'!$K$2:$K$225,A190,'Pickup log'!$D$2:$D$225,B190,'Pickup log'!$G$2:$G$225,C190,'Pickup log'!$E$2:$E$225,"Economy"))</f>
        <v>0</v>
      </c>
      <c r="J190" s="5" t="n">
        <f aca="false">IF(H190=0,0,2*I190+Notes!$B$25*(H190-1))</f>
        <v>0</v>
      </c>
      <c r="K190" s="14" t="n">
        <f aca="false">IF(C190="Matador",J190/Notes!$B$21*Notes!$B$22,J190/Notes!$B$23*Notes!$B$24)</f>
        <v>0</v>
      </c>
    </row>
    <row r="191" customFormat="false" ht="15" hidden="false" customHeight="false" outlineLevel="0" collapsed="false">
      <c r="A191" s="12" t="n">
        <v>45439</v>
      </c>
      <c r="B191" s="5" t="s">
        <v>114</v>
      </c>
      <c r="C191" s="5" t="s">
        <v>151</v>
      </c>
      <c r="D191" s="5" t="n">
        <f aca="false">COUNTIFS('Pickup log'!$K$2:$K$225,A191,'Pickup log'!$D$2:$D$225,B191,'Pickup log'!$G$2:$G$225,C191)</f>
        <v>0</v>
      </c>
      <c r="E191" s="5" t="n">
        <f aca="false">IF(D191=0,0,_xlfn.MAXIFS('Pickup log'!$H$2:$H$225,'Pickup log'!$K$2:$K$225,A191,'Pickup log'!$D$2:$D$225,B191,'Pickup log'!$G$2:$G$225,C191))</f>
        <v>0</v>
      </c>
      <c r="F191" s="5" t="n">
        <f aca="false">IF(D191=0,0,2*E191+Notes!$B$25*(D191-1))</f>
        <v>0</v>
      </c>
      <c r="G191" s="14" t="n">
        <f aca="false">IF(C191="Matador",F191/Notes!$B$21*Notes!$B$22,F191/Notes!$B$23*Notes!$B$24)</f>
        <v>0</v>
      </c>
      <c r="H191" s="5" t="n">
        <f aca="false">COUNTIFS('Pickup log'!$K$2:$K$225,A191,'Pickup log'!$D$2:$D$225,B191,'Pickup log'!$G$2:$G$225,C191,'Pickup log'!$E$2:$E$225,"Economy")</f>
        <v>0</v>
      </c>
      <c r="I191" s="5" t="n">
        <f aca="false">IF(H191=0,0,_xlfn.MAXIFS('Pickup log'!$H$2:$H$225,'Pickup log'!$K$2:$K$225,A191,'Pickup log'!$D$2:$D$225,B191,'Pickup log'!$G$2:$G$225,C191,'Pickup log'!$E$2:$E$225,"Economy"))</f>
        <v>0</v>
      </c>
      <c r="J191" s="5" t="n">
        <f aca="false">IF(H191=0,0,2*I191+Notes!$B$25*(H191-1))</f>
        <v>0</v>
      </c>
      <c r="K191" s="14" t="n">
        <f aca="false">IF(C191="Matador",J191/Notes!$B$21*Notes!$B$22,J191/Notes!$B$23*Notes!$B$24)</f>
        <v>0</v>
      </c>
    </row>
    <row r="192" customFormat="false" ht="15" hidden="false" customHeight="false" outlineLevel="0" collapsed="false">
      <c r="A192" s="12" t="n">
        <v>45440</v>
      </c>
      <c r="B192" s="5" t="s">
        <v>56</v>
      </c>
      <c r="C192" s="5" t="s">
        <v>150</v>
      </c>
      <c r="D192" s="5" t="n">
        <f aca="false">COUNTIFS('Pickup log'!$K$2:$K$225,A192,'Pickup log'!$D$2:$D$225,B192,'Pickup log'!$G$2:$G$225,C192)</f>
        <v>2</v>
      </c>
      <c r="E192" s="5" t="n">
        <f aca="false">IF(D192=0,0,_xlfn.MAXIFS('Pickup log'!$H$2:$H$225,'Pickup log'!$K$2:$K$225,A192,'Pickup log'!$D$2:$D$225,B192,'Pickup log'!$G$2:$G$225,C192))</f>
        <v>3.5</v>
      </c>
      <c r="F192" s="5" t="n">
        <f aca="false">IF(D192=0,0,2*E192+Notes!$B$25*(D192-1))</f>
        <v>9</v>
      </c>
      <c r="G192" s="14" t="n">
        <f aca="false">IF(C192="Matador",F192/Notes!$B$21*Notes!$B$22,F192/Notes!$B$23*Notes!$B$24)</f>
        <v>19.968</v>
      </c>
      <c r="H192" s="5" t="n">
        <f aca="false">COUNTIFS('Pickup log'!$K$2:$K$225,A192,'Pickup log'!$D$2:$D$225,B192,'Pickup log'!$G$2:$G$225,C192,'Pickup log'!$E$2:$E$225,"Economy")</f>
        <v>2</v>
      </c>
      <c r="I192" s="5" t="n">
        <f aca="false">IF(H192=0,0,_xlfn.MAXIFS('Pickup log'!$H$2:$H$225,'Pickup log'!$K$2:$K$225,A192,'Pickup log'!$D$2:$D$225,B192,'Pickup log'!$G$2:$G$225,C192,'Pickup log'!$E$2:$E$225,"Economy"))</f>
        <v>3.5</v>
      </c>
      <c r="J192" s="5" t="n">
        <f aca="false">IF(H192=0,0,2*I192+Notes!$B$25*(H192-1))</f>
        <v>9</v>
      </c>
      <c r="K192" s="14" t="n">
        <f aca="false">IF(C192="Matador",J192/Notes!$B$21*Notes!$B$22,J192/Notes!$B$23*Notes!$B$24)</f>
        <v>19.968</v>
      </c>
    </row>
    <row r="193" customFormat="false" ht="15" hidden="false" customHeight="false" outlineLevel="0" collapsed="false">
      <c r="A193" s="12" t="n">
        <v>45440</v>
      </c>
      <c r="B193" s="5" t="s">
        <v>56</v>
      </c>
      <c r="C193" s="5" t="s">
        <v>151</v>
      </c>
      <c r="D193" s="5" t="n">
        <f aca="false">COUNTIFS('Pickup log'!$K$2:$K$225,A193,'Pickup log'!$D$2:$D$225,B193,'Pickup log'!$G$2:$G$225,C193)</f>
        <v>3</v>
      </c>
      <c r="E193" s="5" t="n">
        <f aca="false">IF(D193=0,0,_xlfn.MAXIFS('Pickup log'!$H$2:$H$225,'Pickup log'!$K$2:$K$225,A193,'Pickup log'!$D$2:$D$225,B193,'Pickup log'!$G$2:$G$225,C193))</f>
        <v>4.5</v>
      </c>
      <c r="F193" s="5" t="n">
        <f aca="false">IF(D193=0,0,2*E193+Notes!$B$25*(D193-1))</f>
        <v>13</v>
      </c>
      <c r="G193" s="14" t="n">
        <f aca="false">IF(C193="Matador",F193/Notes!$B$21*Notes!$B$22,F193/Notes!$B$23*Notes!$B$24)</f>
        <v>69.818125</v>
      </c>
      <c r="H193" s="5" t="n">
        <f aca="false">COUNTIFS('Pickup log'!$K$2:$K$225,A193,'Pickup log'!$D$2:$D$225,B193,'Pickup log'!$G$2:$G$225,C193,'Pickup log'!$E$2:$E$225,"Economy")</f>
        <v>2</v>
      </c>
      <c r="I193" s="5" t="n">
        <f aca="false">IF(H193=0,0,_xlfn.MAXIFS('Pickup log'!$H$2:$H$225,'Pickup log'!$K$2:$K$225,A193,'Pickup log'!$D$2:$D$225,B193,'Pickup log'!$G$2:$G$225,C193,'Pickup log'!$E$2:$E$225,"Economy"))</f>
        <v>4.5</v>
      </c>
      <c r="J193" s="5" t="n">
        <f aca="false">IF(H193=0,0,2*I193+Notes!$B$25*(H193-1))</f>
        <v>11</v>
      </c>
      <c r="K193" s="14" t="n">
        <f aca="false">IF(C193="Matador",J193/Notes!$B$21*Notes!$B$22,J193/Notes!$B$23*Notes!$B$24)</f>
        <v>59.076875</v>
      </c>
    </row>
    <row r="194" customFormat="false" ht="15" hidden="false" customHeight="false" outlineLevel="0" collapsed="false">
      <c r="A194" s="12" t="n">
        <v>45440</v>
      </c>
      <c r="B194" s="5" t="s">
        <v>73</v>
      </c>
      <c r="C194" s="5" t="s">
        <v>150</v>
      </c>
      <c r="D194" s="5" t="n">
        <f aca="false">COUNTIFS('Pickup log'!$K$2:$K$225,A194,'Pickup log'!$D$2:$D$225,B194,'Pickup log'!$G$2:$G$225,C194)</f>
        <v>1</v>
      </c>
      <c r="E194" s="5" t="n">
        <f aca="false">IF(D194=0,0,_xlfn.MAXIFS('Pickup log'!$H$2:$H$225,'Pickup log'!$K$2:$K$225,A194,'Pickup log'!$D$2:$D$225,B194,'Pickup log'!$G$2:$G$225,C194))</f>
        <v>9</v>
      </c>
      <c r="F194" s="5" t="n">
        <f aca="false">IF(D194=0,0,2*E194+Notes!$B$25*(D194-1))</f>
        <v>18</v>
      </c>
      <c r="G194" s="14" t="n">
        <f aca="false">IF(C194="Matador",F194/Notes!$B$21*Notes!$B$22,F194/Notes!$B$23*Notes!$B$24)</f>
        <v>39.936</v>
      </c>
      <c r="H194" s="5" t="n">
        <f aca="false">COUNTIFS('Pickup log'!$K$2:$K$225,A194,'Pickup log'!$D$2:$D$225,B194,'Pickup log'!$G$2:$G$225,C194,'Pickup log'!$E$2:$E$225,"Economy")</f>
        <v>0</v>
      </c>
      <c r="I194" s="5" t="n">
        <f aca="false">IF(H194=0,0,_xlfn.MAXIFS('Pickup log'!$H$2:$H$225,'Pickup log'!$K$2:$K$225,A194,'Pickup log'!$D$2:$D$225,B194,'Pickup log'!$G$2:$G$225,C194,'Pickup log'!$E$2:$E$225,"Economy"))</f>
        <v>0</v>
      </c>
      <c r="J194" s="5" t="n">
        <f aca="false">IF(H194=0,0,2*I194+Notes!$B$25*(H194-1))</f>
        <v>0</v>
      </c>
      <c r="K194" s="14" t="n">
        <f aca="false">IF(C194="Matador",J194/Notes!$B$21*Notes!$B$22,J194/Notes!$B$23*Notes!$B$24)</f>
        <v>0</v>
      </c>
    </row>
    <row r="195" customFormat="false" ht="15" hidden="false" customHeight="false" outlineLevel="0" collapsed="false">
      <c r="A195" s="12" t="n">
        <v>45440</v>
      </c>
      <c r="B195" s="5" t="s">
        <v>73</v>
      </c>
      <c r="C195" s="5" t="s">
        <v>151</v>
      </c>
      <c r="D195" s="5" t="n">
        <f aca="false">COUNTIFS('Pickup log'!$K$2:$K$225,A195,'Pickup log'!$D$2:$D$225,B195,'Pickup log'!$G$2:$G$225,C195)</f>
        <v>1</v>
      </c>
      <c r="E195" s="5" t="n">
        <f aca="false">IF(D195=0,0,_xlfn.MAXIFS('Pickup log'!$H$2:$H$225,'Pickup log'!$K$2:$K$225,A195,'Pickup log'!$D$2:$D$225,B195,'Pickup log'!$G$2:$G$225,C195))</f>
        <v>2.5</v>
      </c>
      <c r="F195" s="5" t="n">
        <f aca="false">IF(D195=0,0,2*E195+Notes!$B$25*(D195-1))</f>
        <v>5</v>
      </c>
      <c r="G195" s="14" t="n">
        <f aca="false">IF(C195="Matador",F195/Notes!$B$21*Notes!$B$22,F195/Notes!$B$23*Notes!$B$24)</f>
        <v>26.853125</v>
      </c>
      <c r="H195" s="5" t="n">
        <f aca="false">COUNTIFS('Pickup log'!$K$2:$K$225,A195,'Pickup log'!$D$2:$D$225,B195,'Pickup log'!$G$2:$G$225,C195,'Pickup log'!$E$2:$E$225,"Economy")</f>
        <v>0</v>
      </c>
      <c r="I195" s="5" t="n">
        <f aca="false">IF(H195=0,0,_xlfn.MAXIFS('Pickup log'!$H$2:$H$225,'Pickup log'!$K$2:$K$225,A195,'Pickup log'!$D$2:$D$225,B195,'Pickup log'!$G$2:$G$225,C195,'Pickup log'!$E$2:$E$225,"Economy"))</f>
        <v>0</v>
      </c>
      <c r="J195" s="5" t="n">
        <f aca="false">IF(H195=0,0,2*I195+Notes!$B$25*(H195-1))</f>
        <v>0</v>
      </c>
      <c r="K195" s="14" t="n">
        <f aca="false">IF(C195="Matador",J195/Notes!$B$21*Notes!$B$22,J195/Notes!$B$23*Notes!$B$24)</f>
        <v>0</v>
      </c>
    </row>
    <row r="196" customFormat="false" ht="15" hidden="false" customHeight="false" outlineLevel="0" collapsed="false">
      <c r="A196" s="12" t="n">
        <v>45440</v>
      </c>
      <c r="B196" s="5" t="s">
        <v>90</v>
      </c>
      <c r="C196" s="5" t="s">
        <v>150</v>
      </c>
      <c r="D196" s="5" t="n">
        <f aca="false">COUNTIFS('Pickup log'!$K$2:$K$225,A196,'Pickup log'!$D$2:$D$225,B196,'Pickup log'!$G$2:$G$225,C196)</f>
        <v>1</v>
      </c>
      <c r="E196" s="5" t="n">
        <f aca="false">IF(D196=0,0,_xlfn.MAXIFS('Pickup log'!$H$2:$H$225,'Pickup log'!$K$2:$K$225,A196,'Pickup log'!$D$2:$D$225,B196,'Pickup log'!$G$2:$G$225,C196))</f>
        <v>5.5</v>
      </c>
      <c r="F196" s="5" t="n">
        <f aca="false">IF(D196=0,0,2*E196+Notes!$B$25*(D196-1))</f>
        <v>11</v>
      </c>
      <c r="G196" s="14" t="n">
        <f aca="false">IF(C196="Matador",F196/Notes!$B$21*Notes!$B$22,F196/Notes!$B$23*Notes!$B$24)</f>
        <v>24.4053333333333</v>
      </c>
      <c r="H196" s="5" t="n">
        <f aca="false">COUNTIFS('Pickup log'!$K$2:$K$225,A196,'Pickup log'!$D$2:$D$225,B196,'Pickup log'!$G$2:$G$225,C196,'Pickup log'!$E$2:$E$225,"Economy")</f>
        <v>1</v>
      </c>
      <c r="I196" s="5" t="n">
        <f aca="false">IF(H196=0,0,_xlfn.MAXIFS('Pickup log'!$H$2:$H$225,'Pickup log'!$K$2:$K$225,A196,'Pickup log'!$D$2:$D$225,B196,'Pickup log'!$G$2:$G$225,C196,'Pickup log'!$E$2:$E$225,"Economy"))</f>
        <v>5.5</v>
      </c>
      <c r="J196" s="5" t="n">
        <f aca="false">IF(H196=0,0,2*I196+Notes!$B$25*(H196-1))</f>
        <v>11</v>
      </c>
      <c r="K196" s="14" t="n">
        <f aca="false">IF(C196="Matador",J196/Notes!$B$21*Notes!$B$22,J196/Notes!$B$23*Notes!$B$24)</f>
        <v>24.4053333333333</v>
      </c>
    </row>
    <row r="197" customFormat="false" ht="15" hidden="false" customHeight="false" outlineLevel="0" collapsed="false">
      <c r="A197" s="12" t="n">
        <v>45440</v>
      </c>
      <c r="B197" s="5" t="s">
        <v>90</v>
      </c>
      <c r="C197" s="5" t="s">
        <v>151</v>
      </c>
      <c r="D197" s="5" t="n">
        <f aca="false">COUNTIFS('Pickup log'!$K$2:$K$225,A197,'Pickup log'!$D$2:$D$225,B197,'Pickup log'!$G$2:$G$225,C197)</f>
        <v>2</v>
      </c>
      <c r="E197" s="5" t="n">
        <f aca="false">IF(D197=0,0,_xlfn.MAXIFS('Pickup log'!$H$2:$H$225,'Pickup log'!$K$2:$K$225,A197,'Pickup log'!$D$2:$D$225,B197,'Pickup log'!$G$2:$G$225,C197))</f>
        <v>13.5</v>
      </c>
      <c r="F197" s="5" t="n">
        <f aca="false">IF(D197=0,0,2*E197+Notes!$B$25*(D197-1))</f>
        <v>29</v>
      </c>
      <c r="G197" s="14" t="n">
        <f aca="false">IF(C197="Matador",F197/Notes!$B$21*Notes!$B$22,F197/Notes!$B$23*Notes!$B$24)</f>
        <v>155.748125</v>
      </c>
      <c r="H197" s="5" t="n">
        <f aca="false">COUNTIFS('Pickup log'!$K$2:$K$225,A197,'Pickup log'!$D$2:$D$225,B197,'Pickup log'!$G$2:$G$225,C197,'Pickup log'!$E$2:$E$225,"Economy")</f>
        <v>1</v>
      </c>
      <c r="I197" s="5" t="n">
        <f aca="false">IF(H197=0,0,_xlfn.MAXIFS('Pickup log'!$H$2:$H$225,'Pickup log'!$K$2:$K$225,A197,'Pickup log'!$D$2:$D$225,B197,'Pickup log'!$G$2:$G$225,C197,'Pickup log'!$E$2:$E$225,"Economy"))</f>
        <v>13.5</v>
      </c>
      <c r="J197" s="5" t="n">
        <f aca="false">IF(H197=0,0,2*I197+Notes!$B$25*(H197-1))</f>
        <v>27</v>
      </c>
      <c r="K197" s="14" t="n">
        <f aca="false">IF(C197="Matador",J197/Notes!$B$21*Notes!$B$22,J197/Notes!$B$23*Notes!$B$24)</f>
        <v>145.006875</v>
      </c>
    </row>
    <row r="198" customFormat="false" ht="15" hidden="false" customHeight="false" outlineLevel="0" collapsed="false">
      <c r="A198" s="12" t="n">
        <v>45440</v>
      </c>
      <c r="B198" s="5" t="s">
        <v>101</v>
      </c>
      <c r="C198" s="5" t="s">
        <v>150</v>
      </c>
      <c r="D198" s="5" t="n">
        <f aca="false">COUNTIFS('Pickup log'!$K$2:$K$225,A198,'Pickup log'!$D$2:$D$225,B198,'Pickup log'!$G$2:$G$225,C198)</f>
        <v>2</v>
      </c>
      <c r="E198" s="5" t="n">
        <f aca="false">IF(D198=0,0,_xlfn.MAXIFS('Pickup log'!$H$2:$H$225,'Pickup log'!$K$2:$K$225,A198,'Pickup log'!$D$2:$D$225,B198,'Pickup log'!$G$2:$G$225,C198))</f>
        <v>19</v>
      </c>
      <c r="F198" s="5" t="n">
        <f aca="false">IF(D198=0,0,2*E198+Notes!$B$25*(D198-1))</f>
        <v>40</v>
      </c>
      <c r="G198" s="14" t="n">
        <f aca="false">IF(C198="Matador",F198/Notes!$B$21*Notes!$B$22,F198/Notes!$B$23*Notes!$B$24)</f>
        <v>88.7466666666667</v>
      </c>
      <c r="H198" s="5" t="n">
        <f aca="false">COUNTIFS('Pickup log'!$K$2:$K$225,A198,'Pickup log'!$D$2:$D$225,B198,'Pickup log'!$G$2:$G$225,C198,'Pickup log'!$E$2:$E$225,"Economy")</f>
        <v>1</v>
      </c>
      <c r="I198" s="5" t="n">
        <f aca="false">IF(H198=0,0,_xlfn.MAXIFS('Pickup log'!$H$2:$H$225,'Pickup log'!$K$2:$K$225,A198,'Pickup log'!$D$2:$D$225,B198,'Pickup log'!$G$2:$G$225,C198,'Pickup log'!$E$2:$E$225,"Economy"))</f>
        <v>6.5</v>
      </c>
      <c r="J198" s="5" t="n">
        <f aca="false">IF(H198=0,0,2*I198+Notes!$B$25*(H198-1))</f>
        <v>13</v>
      </c>
      <c r="K198" s="14" t="n">
        <f aca="false">IF(C198="Matador",J198/Notes!$B$21*Notes!$B$22,J198/Notes!$B$23*Notes!$B$24)</f>
        <v>28.8426666666667</v>
      </c>
    </row>
    <row r="199" customFormat="false" ht="15" hidden="false" customHeight="false" outlineLevel="0" collapsed="false">
      <c r="A199" s="12" t="n">
        <v>45440</v>
      </c>
      <c r="B199" s="5" t="s">
        <v>101</v>
      </c>
      <c r="C199" s="5" t="s">
        <v>151</v>
      </c>
      <c r="D199" s="5" t="n">
        <f aca="false">COUNTIFS('Pickup log'!$K$2:$K$225,A199,'Pickup log'!$D$2:$D$225,B199,'Pickup log'!$G$2:$G$225,C199)</f>
        <v>0</v>
      </c>
      <c r="E199" s="5" t="n">
        <f aca="false">IF(D199=0,0,_xlfn.MAXIFS('Pickup log'!$H$2:$H$225,'Pickup log'!$K$2:$K$225,A199,'Pickup log'!$D$2:$D$225,B199,'Pickup log'!$G$2:$G$225,C199))</f>
        <v>0</v>
      </c>
      <c r="F199" s="5" t="n">
        <f aca="false">IF(D199=0,0,2*E199+Notes!$B$25*(D199-1))</f>
        <v>0</v>
      </c>
      <c r="G199" s="14" t="n">
        <f aca="false">IF(C199="Matador",F199/Notes!$B$21*Notes!$B$22,F199/Notes!$B$23*Notes!$B$24)</f>
        <v>0</v>
      </c>
      <c r="H199" s="5" t="n">
        <f aca="false">COUNTIFS('Pickup log'!$K$2:$K$225,A199,'Pickup log'!$D$2:$D$225,B199,'Pickup log'!$G$2:$G$225,C199,'Pickup log'!$E$2:$E$225,"Economy")</f>
        <v>0</v>
      </c>
      <c r="I199" s="5" t="n">
        <f aca="false">IF(H199=0,0,_xlfn.MAXIFS('Pickup log'!$H$2:$H$225,'Pickup log'!$K$2:$K$225,A199,'Pickup log'!$D$2:$D$225,B199,'Pickup log'!$G$2:$G$225,C199,'Pickup log'!$E$2:$E$225,"Economy"))</f>
        <v>0</v>
      </c>
      <c r="J199" s="5" t="n">
        <f aca="false">IF(H199=0,0,2*I199+Notes!$B$25*(H199-1))</f>
        <v>0</v>
      </c>
      <c r="K199" s="14" t="n">
        <f aca="false">IF(C199="Matador",J199/Notes!$B$21*Notes!$B$22,J199/Notes!$B$23*Notes!$B$24)</f>
        <v>0</v>
      </c>
    </row>
    <row r="200" customFormat="false" ht="15" hidden="false" customHeight="false" outlineLevel="0" collapsed="false">
      <c r="A200" s="12" t="n">
        <v>45440</v>
      </c>
      <c r="B200" s="5" t="s">
        <v>114</v>
      </c>
      <c r="C200" s="5" t="s">
        <v>150</v>
      </c>
      <c r="D200" s="5" t="n">
        <f aca="false">COUNTIFS('Pickup log'!$K$2:$K$225,A200,'Pickup log'!$D$2:$D$225,B200,'Pickup log'!$G$2:$G$225,C200)</f>
        <v>0</v>
      </c>
      <c r="E200" s="5" t="n">
        <f aca="false">IF(D200=0,0,_xlfn.MAXIFS('Pickup log'!$H$2:$H$225,'Pickup log'!$K$2:$K$225,A200,'Pickup log'!$D$2:$D$225,B200,'Pickup log'!$G$2:$G$225,C200))</f>
        <v>0</v>
      </c>
      <c r="F200" s="5" t="n">
        <f aca="false">IF(D200=0,0,2*E200+Notes!$B$25*(D200-1))</f>
        <v>0</v>
      </c>
      <c r="G200" s="14" t="n">
        <f aca="false">IF(C200="Matador",F200/Notes!$B$21*Notes!$B$22,F200/Notes!$B$23*Notes!$B$24)</f>
        <v>0</v>
      </c>
      <c r="H200" s="5" t="n">
        <f aca="false">COUNTIFS('Pickup log'!$K$2:$K$225,A200,'Pickup log'!$D$2:$D$225,B200,'Pickup log'!$G$2:$G$225,C200,'Pickup log'!$E$2:$E$225,"Economy")</f>
        <v>0</v>
      </c>
      <c r="I200" s="5" t="n">
        <f aca="false">IF(H200=0,0,_xlfn.MAXIFS('Pickup log'!$H$2:$H$225,'Pickup log'!$K$2:$K$225,A200,'Pickup log'!$D$2:$D$225,B200,'Pickup log'!$G$2:$G$225,C200,'Pickup log'!$E$2:$E$225,"Economy"))</f>
        <v>0</v>
      </c>
      <c r="J200" s="5" t="n">
        <f aca="false">IF(H200=0,0,2*I200+Notes!$B$25*(H200-1))</f>
        <v>0</v>
      </c>
      <c r="K200" s="14" t="n">
        <f aca="false">IF(C200="Matador",J200/Notes!$B$21*Notes!$B$22,J200/Notes!$B$23*Notes!$B$24)</f>
        <v>0</v>
      </c>
    </row>
    <row r="201" customFormat="false" ht="15" hidden="false" customHeight="false" outlineLevel="0" collapsed="false">
      <c r="A201" s="12" t="n">
        <v>45440</v>
      </c>
      <c r="B201" s="5" t="s">
        <v>114</v>
      </c>
      <c r="C201" s="5" t="s">
        <v>151</v>
      </c>
      <c r="D201" s="5" t="n">
        <f aca="false">COUNTIFS('Pickup log'!$K$2:$K$225,A201,'Pickup log'!$D$2:$D$225,B201,'Pickup log'!$G$2:$G$225,C201)</f>
        <v>0</v>
      </c>
      <c r="E201" s="5" t="n">
        <f aca="false">IF(D201=0,0,_xlfn.MAXIFS('Pickup log'!$H$2:$H$225,'Pickup log'!$K$2:$K$225,A201,'Pickup log'!$D$2:$D$225,B201,'Pickup log'!$G$2:$G$225,C201))</f>
        <v>0</v>
      </c>
      <c r="F201" s="5" t="n">
        <f aca="false">IF(D201=0,0,2*E201+Notes!$B$25*(D201-1))</f>
        <v>0</v>
      </c>
      <c r="G201" s="14" t="n">
        <f aca="false">IF(C201="Matador",F201/Notes!$B$21*Notes!$B$22,F201/Notes!$B$23*Notes!$B$24)</f>
        <v>0</v>
      </c>
      <c r="H201" s="5" t="n">
        <f aca="false">COUNTIFS('Pickup log'!$K$2:$K$225,A201,'Pickup log'!$D$2:$D$225,B201,'Pickup log'!$G$2:$G$225,C201,'Pickup log'!$E$2:$E$225,"Economy")</f>
        <v>0</v>
      </c>
      <c r="I201" s="5" t="n">
        <f aca="false">IF(H201=0,0,_xlfn.MAXIFS('Pickup log'!$H$2:$H$225,'Pickup log'!$K$2:$K$225,A201,'Pickup log'!$D$2:$D$225,B201,'Pickup log'!$G$2:$G$225,C201,'Pickup log'!$E$2:$E$225,"Economy"))</f>
        <v>0</v>
      </c>
      <c r="J201" s="5" t="n">
        <f aca="false">IF(H201=0,0,2*I201+Notes!$B$25*(H201-1))</f>
        <v>0</v>
      </c>
      <c r="K201" s="14" t="n">
        <f aca="false">IF(C201="Matador",J201/Notes!$B$21*Notes!$B$22,J201/Notes!$B$23*Notes!$B$24)</f>
        <v>0</v>
      </c>
    </row>
    <row r="202" customFormat="false" ht="15" hidden="false" customHeight="false" outlineLevel="0" collapsed="false">
      <c r="A202" s="12" t="n">
        <v>45441</v>
      </c>
      <c r="B202" s="5" t="s">
        <v>56</v>
      </c>
      <c r="C202" s="5" t="s">
        <v>150</v>
      </c>
      <c r="D202" s="5" t="n">
        <f aca="false">COUNTIFS('Pickup log'!$K$2:$K$225,A202,'Pickup log'!$D$2:$D$225,B202,'Pickup log'!$G$2:$G$225,C202)</f>
        <v>0</v>
      </c>
      <c r="E202" s="5" t="n">
        <f aca="false">IF(D202=0,0,_xlfn.MAXIFS('Pickup log'!$H$2:$H$225,'Pickup log'!$K$2:$K$225,A202,'Pickup log'!$D$2:$D$225,B202,'Pickup log'!$G$2:$G$225,C202))</f>
        <v>0</v>
      </c>
      <c r="F202" s="5" t="n">
        <f aca="false">IF(D202=0,0,2*E202+Notes!$B$25*(D202-1))</f>
        <v>0</v>
      </c>
      <c r="G202" s="14" t="n">
        <f aca="false">IF(C202="Matador",F202/Notes!$B$21*Notes!$B$22,F202/Notes!$B$23*Notes!$B$24)</f>
        <v>0</v>
      </c>
      <c r="H202" s="5" t="n">
        <f aca="false">COUNTIFS('Pickup log'!$K$2:$K$225,A202,'Pickup log'!$D$2:$D$225,B202,'Pickup log'!$G$2:$G$225,C202,'Pickup log'!$E$2:$E$225,"Economy")</f>
        <v>0</v>
      </c>
      <c r="I202" s="5" t="n">
        <f aca="false">IF(H202=0,0,_xlfn.MAXIFS('Pickup log'!$H$2:$H$225,'Pickup log'!$K$2:$K$225,A202,'Pickup log'!$D$2:$D$225,B202,'Pickup log'!$G$2:$G$225,C202,'Pickup log'!$E$2:$E$225,"Economy"))</f>
        <v>0</v>
      </c>
      <c r="J202" s="5" t="n">
        <f aca="false">IF(H202=0,0,2*I202+Notes!$B$25*(H202-1))</f>
        <v>0</v>
      </c>
      <c r="K202" s="14" t="n">
        <f aca="false">IF(C202="Matador",J202/Notes!$B$21*Notes!$B$22,J202/Notes!$B$23*Notes!$B$24)</f>
        <v>0</v>
      </c>
    </row>
    <row r="203" customFormat="false" ht="15" hidden="false" customHeight="false" outlineLevel="0" collapsed="false">
      <c r="A203" s="12" t="n">
        <v>45441</v>
      </c>
      <c r="B203" s="5" t="s">
        <v>56</v>
      </c>
      <c r="C203" s="5" t="s">
        <v>151</v>
      </c>
      <c r="D203" s="5" t="n">
        <f aca="false">COUNTIFS('Pickup log'!$K$2:$K$225,A203,'Pickup log'!$D$2:$D$225,B203,'Pickup log'!$G$2:$G$225,C203)</f>
        <v>0</v>
      </c>
      <c r="E203" s="5" t="n">
        <f aca="false">IF(D203=0,0,_xlfn.MAXIFS('Pickup log'!$H$2:$H$225,'Pickup log'!$K$2:$K$225,A203,'Pickup log'!$D$2:$D$225,B203,'Pickup log'!$G$2:$G$225,C203))</f>
        <v>0</v>
      </c>
      <c r="F203" s="5" t="n">
        <f aca="false">IF(D203=0,0,2*E203+Notes!$B$25*(D203-1))</f>
        <v>0</v>
      </c>
      <c r="G203" s="14" t="n">
        <f aca="false">IF(C203="Matador",F203/Notes!$B$21*Notes!$B$22,F203/Notes!$B$23*Notes!$B$24)</f>
        <v>0</v>
      </c>
      <c r="H203" s="5" t="n">
        <f aca="false">COUNTIFS('Pickup log'!$K$2:$K$225,A203,'Pickup log'!$D$2:$D$225,B203,'Pickup log'!$G$2:$G$225,C203,'Pickup log'!$E$2:$E$225,"Economy")</f>
        <v>0</v>
      </c>
      <c r="I203" s="5" t="n">
        <f aca="false">IF(H203=0,0,_xlfn.MAXIFS('Pickup log'!$H$2:$H$225,'Pickup log'!$K$2:$K$225,A203,'Pickup log'!$D$2:$D$225,B203,'Pickup log'!$G$2:$G$225,C203,'Pickup log'!$E$2:$E$225,"Economy"))</f>
        <v>0</v>
      </c>
      <c r="J203" s="5" t="n">
        <f aca="false">IF(H203=0,0,2*I203+Notes!$B$25*(H203-1))</f>
        <v>0</v>
      </c>
      <c r="K203" s="14" t="n">
        <f aca="false">IF(C203="Matador",J203/Notes!$B$21*Notes!$B$22,J203/Notes!$B$23*Notes!$B$24)</f>
        <v>0</v>
      </c>
    </row>
    <row r="204" customFormat="false" ht="15" hidden="false" customHeight="false" outlineLevel="0" collapsed="false">
      <c r="A204" s="12" t="n">
        <v>45441</v>
      </c>
      <c r="B204" s="5" t="s">
        <v>73</v>
      </c>
      <c r="C204" s="5" t="s">
        <v>150</v>
      </c>
      <c r="D204" s="5" t="n">
        <f aca="false">COUNTIFS('Pickup log'!$K$2:$K$225,A204,'Pickup log'!$D$2:$D$225,B204,'Pickup log'!$G$2:$G$225,C204)</f>
        <v>1</v>
      </c>
      <c r="E204" s="5" t="n">
        <f aca="false">IF(D204=0,0,_xlfn.MAXIFS('Pickup log'!$H$2:$H$225,'Pickup log'!$K$2:$K$225,A204,'Pickup log'!$D$2:$D$225,B204,'Pickup log'!$G$2:$G$225,C204))</f>
        <v>4.5</v>
      </c>
      <c r="F204" s="5" t="n">
        <f aca="false">IF(D204=0,0,2*E204+Notes!$B$25*(D204-1))</f>
        <v>9</v>
      </c>
      <c r="G204" s="14" t="n">
        <f aca="false">IF(C204="Matador",F204/Notes!$B$21*Notes!$B$22,F204/Notes!$B$23*Notes!$B$24)</f>
        <v>19.968</v>
      </c>
      <c r="H204" s="5" t="n">
        <f aca="false">COUNTIFS('Pickup log'!$K$2:$K$225,A204,'Pickup log'!$D$2:$D$225,B204,'Pickup log'!$G$2:$G$225,C204,'Pickup log'!$E$2:$E$225,"Economy")</f>
        <v>1</v>
      </c>
      <c r="I204" s="5" t="n">
        <f aca="false">IF(H204=0,0,_xlfn.MAXIFS('Pickup log'!$H$2:$H$225,'Pickup log'!$K$2:$K$225,A204,'Pickup log'!$D$2:$D$225,B204,'Pickup log'!$G$2:$G$225,C204,'Pickup log'!$E$2:$E$225,"Economy"))</f>
        <v>4.5</v>
      </c>
      <c r="J204" s="5" t="n">
        <f aca="false">IF(H204=0,0,2*I204+Notes!$B$25*(H204-1))</f>
        <v>9</v>
      </c>
      <c r="K204" s="14" t="n">
        <f aca="false">IF(C204="Matador",J204/Notes!$B$21*Notes!$B$22,J204/Notes!$B$23*Notes!$B$24)</f>
        <v>19.968</v>
      </c>
    </row>
    <row r="205" customFormat="false" ht="15" hidden="false" customHeight="false" outlineLevel="0" collapsed="false">
      <c r="A205" s="12" t="n">
        <v>45441</v>
      </c>
      <c r="B205" s="5" t="s">
        <v>73</v>
      </c>
      <c r="C205" s="5" t="s">
        <v>151</v>
      </c>
      <c r="D205" s="5" t="n">
        <f aca="false">COUNTIFS('Pickup log'!$K$2:$K$225,A205,'Pickup log'!$D$2:$D$225,B205,'Pickup log'!$G$2:$G$225,C205)</f>
        <v>2</v>
      </c>
      <c r="E205" s="5" t="n">
        <f aca="false">IF(D205=0,0,_xlfn.MAXIFS('Pickup log'!$H$2:$H$225,'Pickup log'!$K$2:$K$225,A205,'Pickup log'!$D$2:$D$225,B205,'Pickup log'!$G$2:$G$225,C205))</f>
        <v>21.5</v>
      </c>
      <c r="F205" s="5" t="n">
        <f aca="false">IF(D205=0,0,2*E205+Notes!$B$25*(D205-1))</f>
        <v>45</v>
      </c>
      <c r="G205" s="14" t="n">
        <f aca="false">IF(C205="Matador",F205/Notes!$B$21*Notes!$B$22,F205/Notes!$B$23*Notes!$B$24)</f>
        <v>241.678125</v>
      </c>
      <c r="H205" s="5" t="n">
        <f aca="false">COUNTIFS('Pickup log'!$K$2:$K$225,A205,'Pickup log'!$D$2:$D$225,B205,'Pickup log'!$G$2:$G$225,C205,'Pickup log'!$E$2:$E$225,"Economy")</f>
        <v>2</v>
      </c>
      <c r="I205" s="5" t="n">
        <f aca="false">IF(H205=0,0,_xlfn.MAXIFS('Pickup log'!$H$2:$H$225,'Pickup log'!$K$2:$K$225,A205,'Pickup log'!$D$2:$D$225,B205,'Pickup log'!$G$2:$G$225,C205,'Pickup log'!$E$2:$E$225,"Economy"))</f>
        <v>21.5</v>
      </c>
      <c r="J205" s="5" t="n">
        <f aca="false">IF(H205=0,0,2*I205+Notes!$B$25*(H205-1))</f>
        <v>45</v>
      </c>
      <c r="K205" s="14" t="n">
        <f aca="false">IF(C205="Matador",J205/Notes!$B$21*Notes!$B$22,J205/Notes!$B$23*Notes!$B$24)</f>
        <v>241.678125</v>
      </c>
    </row>
    <row r="206" customFormat="false" ht="15" hidden="false" customHeight="false" outlineLevel="0" collapsed="false">
      <c r="A206" s="12" t="n">
        <v>45441</v>
      </c>
      <c r="B206" s="5" t="s">
        <v>90</v>
      </c>
      <c r="C206" s="5" t="s">
        <v>150</v>
      </c>
      <c r="D206" s="5" t="n">
        <f aca="false">COUNTIFS('Pickup log'!$K$2:$K$225,A206,'Pickup log'!$D$2:$D$225,B206,'Pickup log'!$G$2:$G$225,C206)</f>
        <v>2</v>
      </c>
      <c r="E206" s="5" t="n">
        <f aca="false">IF(D206=0,0,_xlfn.MAXIFS('Pickup log'!$H$2:$H$225,'Pickup log'!$K$2:$K$225,A206,'Pickup log'!$D$2:$D$225,B206,'Pickup log'!$G$2:$G$225,C206))</f>
        <v>9</v>
      </c>
      <c r="F206" s="5" t="n">
        <f aca="false">IF(D206=0,0,2*E206+Notes!$B$25*(D206-1))</f>
        <v>20</v>
      </c>
      <c r="G206" s="14" t="n">
        <f aca="false">IF(C206="Matador",F206/Notes!$B$21*Notes!$B$22,F206/Notes!$B$23*Notes!$B$24)</f>
        <v>44.3733333333333</v>
      </c>
      <c r="H206" s="5" t="n">
        <f aca="false">COUNTIFS('Pickup log'!$K$2:$K$225,A206,'Pickup log'!$D$2:$D$225,B206,'Pickup log'!$G$2:$G$225,C206,'Pickup log'!$E$2:$E$225,"Economy")</f>
        <v>0</v>
      </c>
      <c r="I206" s="5" t="n">
        <f aca="false">IF(H206=0,0,_xlfn.MAXIFS('Pickup log'!$H$2:$H$225,'Pickup log'!$K$2:$K$225,A206,'Pickup log'!$D$2:$D$225,B206,'Pickup log'!$G$2:$G$225,C206,'Pickup log'!$E$2:$E$225,"Economy"))</f>
        <v>0</v>
      </c>
      <c r="J206" s="5" t="n">
        <f aca="false">IF(H206=0,0,2*I206+Notes!$B$25*(H206-1))</f>
        <v>0</v>
      </c>
      <c r="K206" s="14" t="n">
        <f aca="false">IF(C206="Matador",J206/Notes!$B$21*Notes!$B$22,J206/Notes!$B$23*Notes!$B$24)</f>
        <v>0</v>
      </c>
    </row>
    <row r="207" customFormat="false" ht="15" hidden="false" customHeight="false" outlineLevel="0" collapsed="false">
      <c r="A207" s="12" t="n">
        <v>45441</v>
      </c>
      <c r="B207" s="5" t="s">
        <v>90</v>
      </c>
      <c r="C207" s="5" t="s">
        <v>151</v>
      </c>
      <c r="D207" s="5" t="n">
        <f aca="false">COUNTIFS('Pickup log'!$K$2:$K$225,A207,'Pickup log'!$D$2:$D$225,B207,'Pickup log'!$G$2:$G$225,C207)</f>
        <v>1</v>
      </c>
      <c r="E207" s="5" t="n">
        <f aca="false">IF(D207=0,0,_xlfn.MAXIFS('Pickup log'!$H$2:$H$225,'Pickup log'!$K$2:$K$225,A207,'Pickup log'!$D$2:$D$225,B207,'Pickup log'!$G$2:$G$225,C207))</f>
        <v>6.5</v>
      </c>
      <c r="F207" s="5" t="n">
        <f aca="false">IF(D207=0,0,2*E207+Notes!$B$25*(D207-1))</f>
        <v>13</v>
      </c>
      <c r="G207" s="14" t="n">
        <f aca="false">IF(C207="Matador",F207/Notes!$B$21*Notes!$B$22,F207/Notes!$B$23*Notes!$B$24)</f>
        <v>69.818125</v>
      </c>
      <c r="H207" s="5" t="n">
        <f aca="false">COUNTIFS('Pickup log'!$K$2:$K$225,A207,'Pickup log'!$D$2:$D$225,B207,'Pickup log'!$G$2:$G$225,C207,'Pickup log'!$E$2:$E$225,"Economy")</f>
        <v>1</v>
      </c>
      <c r="I207" s="5" t="n">
        <f aca="false">IF(H207=0,0,_xlfn.MAXIFS('Pickup log'!$H$2:$H$225,'Pickup log'!$K$2:$K$225,A207,'Pickup log'!$D$2:$D$225,B207,'Pickup log'!$G$2:$G$225,C207,'Pickup log'!$E$2:$E$225,"Economy"))</f>
        <v>6.5</v>
      </c>
      <c r="J207" s="5" t="n">
        <f aca="false">IF(H207=0,0,2*I207+Notes!$B$25*(H207-1))</f>
        <v>13</v>
      </c>
      <c r="K207" s="14" t="n">
        <f aca="false">IF(C207="Matador",J207/Notes!$B$21*Notes!$B$22,J207/Notes!$B$23*Notes!$B$24)</f>
        <v>69.818125</v>
      </c>
    </row>
    <row r="208" customFormat="false" ht="15" hidden="false" customHeight="false" outlineLevel="0" collapsed="false">
      <c r="A208" s="12" t="n">
        <v>45441</v>
      </c>
      <c r="B208" s="5" t="s">
        <v>101</v>
      </c>
      <c r="C208" s="5" t="s">
        <v>150</v>
      </c>
      <c r="D208" s="5" t="n">
        <f aca="false">COUNTIFS('Pickup log'!$K$2:$K$225,A208,'Pickup log'!$D$2:$D$225,B208,'Pickup log'!$G$2:$G$225,C208)</f>
        <v>1</v>
      </c>
      <c r="E208" s="5" t="n">
        <f aca="false">IF(D208=0,0,_xlfn.MAXIFS('Pickup log'!$H$2:$H$225,'Pickup log'!$K$2:$K$225,A208,'Pickup log'!$D$2:$D$225,B208,'Pickup log'!$G$2:$G$225,C208))</f>
        <v>6.5</v>
      </c>
      <c r="F208" s="5" t="n">
        <f aca="false">IF(D208=0,0,2*E208+Notes!$B$25*(D208-1))</f>
        <v>13</v>
      </c>
      <c r="G208" s="14" t="n">
        <f aca="false">IF(C208="Matador",F208/Notes!$B$21*Notes!$B$22,F208/Notes!$B$23*Notes!$B$24)</f>
        <v>28.8426666666667</v>
      </c>
      <c r="H208" s="5" t="n">
        <f aca="false">COUNTIFS('Pickup log'!$K$2:$K$225,A208,'Pickup log'!$D$2:$D$225,B208,'Pickup log'!$G$2:$G$225,C208,'Pickup log'!$E$2:$E$225,"Economy")</f>
        <v>1</v>
      </c>
      <c r="I208" s="5" t="n">
        <f aca="false">IF(H208=0,0,_xlfn.MAXIFS('Pickup log'!$H$2:$H$225,'Pickup log'!$K$2:$K$225,A208,'Pickup log'!$D$2:$D$225,B208,'Pickup log'!$G$2:$G$225,C208,'Pickup log'!$E$2:$E$225,"Economy"))</f>
        <v>6.5</v>
      </c>
      <c r="J208" s="5" t="n">
        <f aca="false">IF(H208=0,0,2*I208+Notes!$B$25*(H208-1))</f>
        <v>13</v>
      </c>
      <c r="K208" s="14" t="n">
        <f aca="false">IF(C208="Matador",J208/Notes!$B$21*Notes!$B$22,J208/Notes!$B$23*Notes!$B$24)</f>
        <v>28.8426666666667</v>
      </c>
    </row>
    <row r="209" customFormat="false" ht="15" hidden="false" customHeight="false" outlineLevel="0" collapsed="false">
      <c r="A209" s="12" t="n">
        <v>45441</v>
      </c>
      <c r="B209" s="5" t="s">
        <v>101</v>
      </c>
      <c r="C209" s="5" t="s">
        <v>151</v>
      </c>
      <c r="D209" s="5" t="n">
        <f aca="false">COUNTIFS('Pickup log'!$K$2:$K$225,A209,'Pickup log'!$D$2:$D$225,B209,'Pickup log'!$G$2:$G$225,C209)</f>
        <v>1</v>
      </c>
      <c r="E209" s="5" t="n">
        <f aca="false">IF(D209=0,0,_xlfn.MAXIFS('Pickup log'!$H$2:$H$225,'Pickup log'!$K$2:$K$225,A209,'Pickup log'!$D$2:$D$225,B209,'Pickup log'!$G$2:$G$225,C209))</f>
        <v>6.5</v>
      </c>
      <c r="F209" s="5" t="n">
        <f aca="false">IF(D209=0,0,2*E209+Notes!$B$25*(D209-1))</f>
        <v>13</v>
      </c>
      <c r="G209" s="14" t="n">
        <f aca="false">IF(C209="Matador",F209/Notes!$B$21*Notes!$B$22,F209/Notes!$B$23*Notes!$B$24)</f>
        <v>69.818125</v>
      </c>
      <c r="H209" s="5" t="n">
        <f aca="false">COUNTIFS('Pickup log'!$K$2:$K$225,A209,'Pickup log'!$D$2:$D$225,B209,'Pickup log'!$G$2:$G$225,C209,'Pickup log'!$E$2:$E$225,"Economy")</f>
        <v>1</v>
      </c>
      <c r="I209" s="5" t="n">
        <f aca="false">IF(H209=0,0,_xlfn.MAXIFS('Pickup log'!$H$2:$H$225,'Pickup log'!$K$2:$K$225,A209,'Pickup log'!$D$2:$D$225,B209,'Pickup log'!$G$2:$G$225,C209,'Pickup log'!$E$2:$E$225,"Economy"))</f>
        <v>6.5</v>
      </c>
      <c r="J209" s="5" t="n">
        <f aca="false">IF(H209=0,0,2*I209+Notes!$B$25*(H209-1))</f>
        <v>13</v>
      </c>
      <c r="K209" s="14" t="n">
        <f aca="false">IF(C209="Matador",J209/Notes!$B$21*Notes!$B$22,J209/Notes!$B$23*Notes!$B$24)</f>
        <v>69.818125</v>
      </c>
    </row>
    <row r="210" customFormat="false" ht="15" hidden="false" customHeight="false" outlineLevel="0" collapsed="false">
      <c r="A210" s="12" t="n">
        <v>45441</v>
      </c>
      <c r="B210" s="5" t="s">
        <v>114</v>
      </c>
      <c r="C210" s="5" t="s">
        <v>150</v>
      </c>
      <c r="D210" s="5" t="n">
        <f aca="false">COUNTIFS('Pickup log'!$K$2:$K$225,A210,'Pickup log'!$D$2:$D$225,B210,'Pickup log'!$G$2:$G$225,C210)</f>
        <v>0</v>
      </c>
      <c r="E210" s="5" t="n">
        <f aca="false">IF(D210=0,0,_xlfn.MAXIFS('Pickup log'!$H$2:$H$225,'Pickup log'!$K$2:$K$225,A210,'Pickup log'!$D$2:$D$225,B210,'Pickup log'!$G$2:$G$225,C210))</f>
        <v>0</v>
      </c>
      <c r="F210" s="5" t="n">
        <f aca="false">IF(D210=0,0,2*E210+Notes!$B$25*(D210-1))</f>
        <v>0</v>
      </c>
      <c r="G210" s="14" t="n">
        <f aca="false">IF(C210="Matador",F210/Notes!$B$21*Notes!$B$22,F210/Notes!$B$23*Notes!$B$24)</f>
        <v>0</v>
      </c>
      <c r="H210" s="5" t="n">
        <f aca="false">COUNTIFS('Pickup log'!$K$2:$K$225,A210,'Pickup log'!$D$2:$D$225,B210,'Pickup log'!$G$2:$G$225,C210,'Pickup log'!$E$2:$E$225,"Economy")</f>
        <v>0</v>
      </c>
      <c r="I210" s="5" t="n">
        <f aca="false">IF(H210=0,0,_xlfn.MAXIFS('Pickup log'!$H$2:$H$225,'Pickup log'!$K$2:$K$225,A210,'Pickup log'!$D$2:$D$225,B210,'Pickup log'!$G$2:$G$225,C210,'Pickup log'!$E$2:$E$225,"Economy"))</f>
        <v>0</v>
      </c>
      <c r="J210" s="5" t="n">
        <f aca="false">IF(H210=0,0,2*I210+Notes!$B$25*(H210-1))</f>
        <v>0</v>
      </c>
      <c r="K210" s="14" t="n">
        <f aca="false">IF(C210="Matador",J210/Notes!$B$21*Notes!$B$22,J210/Notes!$B$23*Notes!$B$24)</f>
        <v>0</v>
      </c>
    </row>
    <row r="211" customFormat="false" ht="15" hidden="false" customHeight="false" outlineLevel="0" collapsed="false">
      <c r="A211" s="12" t="n">
        <v>45441</v>
      </c>
      <c r="B211" s="5" t="s">
        <v>114</v>
      </c>
      <c r="C211" s="5" t="s">
        <v>151</v>
      </c>
      <c r="D211" s="5" t="n">
        <f aca="false">COUNTIFS('Pickup log'!$K$2:$K$225,A211,'Pickup log'!$D$2:$D$225,B211,'Pickup log'!$G$2:$G$225,C211)</f>
        <v>2</v>
      </c>
      <c r="E211" s="5" t="n">
        <f aca="false">IF(D211=0,0,_xlfn.MAXIFS('Pickup log'!$H$2:$H$225,'Pickup log'!$K$2:$K$225,A211,'Pickup log'!$D$2:$D$225,B211,'Pickup log'!$G$2:$G$225,C211))</f>
        <v>10</v>
      </c>
      <c r="F211" s="5" t="n">
        <f aca="false">IF(D211=0,0,2*E211+Notes!$B$25*(D211-1))</f>
        <v>22</v>
      </c>
      <c r="G211" s="14" t="n">
        <f aca="false">IF(C211="Matador",F211/Notes!$B$21*Notes!$B$22,F211/Notes!$B$23*Notes!$B$24)</f>
        <v>118.15375</v>
      </c>
      <c r="H211" s="5" t="n">
        <f aca="false">COUNTIFS('Pickup log'!$K$2:$K$225,A211,'Pickup log'!$D$2:$D$225,B211,'Pickup log'!$G$2:$G$225,C211,'Pickup log'!$E$2:$E$225,"Economy")</f>
        <v>1</v>
      </c>
      <c r="I211" s="5" t="n">
        <f aca="false">IF(H211=0,0,_xlfn.MAXIFS('Pickup log'!$H$2:$H$225,'Pickup log'!$K$2:$K$225,A211,'Pickup log'!$D$2:$D$225,B211,'Pickup log'!$G$2:$G$225,C211,'Pickup log'!$E$2:$E$225,"Economy"))</f>
        <v>10</v>
      </c>
      <c r="J211" s="5" t="n">
        <f aca="false">IF(H211=0,0,2*I211+Notes!$B$25*(H211-1))</f>
        <v>20</v>
      </c>
      <c r="K211" s="14" t="n">
        <f aca="false">IF(C211="Matador",J211/Notes!$B$21*Notes!$B$22,J211/Notes!$B$23*Notes!$B$24)</f>
        <v>107.4125</v>
      </c>
    </row>
    <row r="212" customFormat="false" ht="15" hidden="false" customHeight="false" outlineLevel="0" collapsed="false">
      <c r="A212" s="12" t="n">
        <v>45442</v>
      </c>
      <c r="B212" s="5" t="s">
        <v>56</v>
      </c>
      <c r="C212" s="5" t="s">
        <v>150</v>
      </c>
      <c r="D212" s="5" t="n">
        <f aca="false">COUNTIFS('Pickup log'!$K$2:$K$225,A212,'Pickup log'!$D$2:$D$225,B212,'Pickup log'!$G$2:$G$225,C212)</f>
        <v>0</v>
      </c>
      <c r="E212" s="5" t="n">
        <f aca="false">IF(D212=0,0,_xlfn.MAXIFS('Pickup log'!$H$2:$H$225,'Pickup log'!$K$2:$K$225,A212,'Pickup log'!$D$2:$D$225,B212,'Pickup log'!$G$2:$G$225,C212))</f>
        <v>0</v>
      </c>
      <c r="F212" s="5" t="n">
        <f aca="false">IF(D212=0,0,2*E212+Notes!$B$25*(D212-1))</f>
        <v>0</v>
      </c>
      <c r="G212" s="14" t="n">
        <f aca="false">IF(C212="Matador",F212/Notes!$B$21*Notes!$B$22,F212/Notes!$B$23*Notes!$B$24)</f>
        <v>0</v>
      </c>
      <c r="H212" s="5" t="n">
        <f aca="false">COUNTIFS('Pickup log'!$K$2:$K$225,A212,'Pickup log'!$D$2:$D$225,B212,'Pickup log'!$G$2:$G$225,C212,'Pickup log'!$E$2:$E$225,"Economy")</f>
        <v>0</v>
      </c>
      <c r="I212" s="5" t="n">
        <f aca="false">IF(H212=0,0,_xlfn.MAXIFS('Pickup log'!$H$2:$H$225,'Pickup log'!$K$2:$K$225,A212,'Pickup log'!$D$2:$D$225,B212,'Pickup log'!$G$2:$G$225,C212,'Pickup log'!$E$2:$E$225,"Economy"))</f>
        <v>0</v>
      </c>
      <c r="J212" s="5" t="n">
        <f aca="false">IF(H212=0,0,2*I212+Notes!$B$25*(H212-1))</f>
        <v>0</v>
      </c>
      <c r="K212" s="14" t="n">
        <f aca="false">IF(C212="Matador",J212/Notes!$B$21*Notes!$B$22,J212/Notes!$B$23*Notes!$B$24)</f>
        <v>0</v>
      </c>
    </row>
    <row r="213" customFormat="false" ht="15" hidden="false" customHeight="false" outlineLevel="0" collapsed="false">
      <c r="A213" s="12" t="n">
        <v>45442</v>
      </c>
      <c r="B213" s="5" t="s">
        <v>56</v>
      </c>
      <c r="C213" s="5" t="s">
        <v>151</v>
      </c>
      <c r="D213" s="5" t="n">
        <f aca="false">COUNTIFS('Pickup log'!$K$2:$K$225,A213,'Pickup log'!$D$2:$D$225,B213,'Pickup log'!$G$2:$G$225,C213)</f>
        <v>1</v>
      </c>
      <c r="E213" s="5" t="n">
        <f aca="false">IF(D213=0,0,_xlfn.MAXIFS('Pickup log'!$H$2:$H$225,'Pickup log'!$K$2:$K$225,A213,'Pickup log'!$D$2:$D$225,B213,'Pickup log'!$G$2:$G$225,C213))</f>
        <v>6</v>
      </c>
      <c r="F213" s="5" t="n">
        <f aca="false">IF(D213=0,0,2*E213+Notes!$B$25*(D213-1))</f>
        <v>12</v>
      </c>
      <c r="G213" s="14" t="n">
        <f aca="false">IF(C213="Matador",F213/Notes!$B$21*Notes!$B$22,F213/Notes!$B$23*Notes!$B$24)</f>
        <v>64.4475</v>
      </c>
      <c r="H213" s="5" t="n">
        <f aca="false">COUNTIFS('Pickup log'!$K$2:$K$225,A213,'Pickup log'!$D$2:$D$225,B213,'Pickup log'!$G$2:$G$225,C213,'Pickup log'!$E$2:$E$225,"Economy")</f>
        <v>0</v>
      </c>
      <c r="I213" s="5" t="n">
        <f aca="false">IF(H213=0,0,_xlfn.MAXIFS('Pickup log'!$H$2:$H$225,'Pickup log'!$K$2:$K$225,A213,'Pickup log'!$D$2:$D$225,B213,'Pickup log'!$G$2:$G$225,C213,'Pickup log'!$E$2:$E$225,"Economy"))</f>
        <v>0</v>
      </c>
      <c r="J213" s="5" t="n">
        <f aca="false">IF(H213=0,0,2*I213+Notes!$B$25*(H213-1))</f>
        <v>0</v>
      </c>
      <c r="K213" s="14" t="n">
        <f aca="false">IF(C213="Matador",J213/Notes!$B$21*Notes!$B$22,J213/Notes!$B$23*Notes!$B$24)</f>
        <v>0</v>
      </c>
    </row>
    <row r="214" customFormat="false" ht="15" hidden="false" customHeight="false" outlineLevel="0" collapsed="false">
      <c r="A214" s="12" t="n">
        <v>45442</v>
      </c>
      <c r="B214" s="5" t="s">
        <v>73</v>
      </c>
      <c r="C214" s="5" t="s">
        <v>150</v>
      </c>
      <c r="D214" s="5" t="n">
        <f aca="false">COUNTIFS('Pickup log'!$K$2:$K$225,A214,'Pickup log'!$D$2:$D$225,B214,'Pickup log'!$G$2:$G$225,C214)</f>
        <v>0</v>
      </c>
      <c r="E214" s="5" t="n">
        <f aca="false">IF(D214=0,0,_xlfn.MAXIFS('Pickup log'!$H$2:$H$225,'Pickup log'!$K$2:$K$225,A214,'Pickup log'!$D$2:$D$225,B214,'Pickup log'!$G$2:$G$225,C214))</f>
        <v>0</v>
      </c>
      <c r="F214" s="5" t="n">
        <f aca="false">IF(D214=0,0,2*E214+Notes!$B$25*(D214-1))</f>
        <v>0</v>
      </c>
      <c r="G214" s="14" t="n">
        <f aca="false">IF(C214="Matador",F214/Notes!$B$21*Notes!$B$22,F214/Notes!$B$23*Notes!$B$24)</f>
        <v>0</v>
      </c>
      <c r="H214" s="5" t="n">
        <f aca="false">COUNTIFS('Pickup log'!$K$2:$K$225,A214,'Pickup log'!$D$2:$D$225,B214,'Pickup log'!$G$2:$G$225,C214,'Pickup log'!$E$2:$E$225,"Economy")</f>
        <v>0</v>
      </c>
      <c r="I214" s="5" t="n">
        <f aca="false">IF(H214=0,0,_xlfn.MAXIFS('Pickup log'!$H$2:$H$225,'Pickup log'!$K$2:$K$225,A214,'Pickup log'!$D$2:$D$225,B214,'Pickup log'!$G$2:$G$225,C214,'Pickup log'!$E$2:$E$225,"Economy"))</f>
        <v>0</v>
      </c>
      <c r="J214" s="5" t="n">
        <f aca="false">IF(H214=0,0,2*I214+Notes!$B$25*(H214-1))</f>
        <v>0</v>
      </c>
      <c r="K214" s="14" t="n">
        <f aca="false">IF(C214="Matador",J214/Notes!$B$21*Notes!$B$22,J214/Notes!$B$23*Notes!$B$24)</f>
        <v>0</v>
      </c>
    </row>
    <row r="215" customFormat="false" ht="15" hidden="false" customHeight="false" outlineLevel="0" collapsed="false">
      <c r="A215" s="12" t="n">
        <v>45442</v>
      </c>
      <c r="B215" s="5" t="s">
        <v>73</v>
      </c>
      <c r="C215" s="5" t="s">
        <v>151</v>
      </c>
      <c r="D215" s="5" t="n">
        <f aca="false">COUNTIFS('Pickup log'!$K$2:$K$225,A215,'Pickup log'!$D$2:$D$225,B215,'Pickup log'!$G$2:$G$225,C215)</f>
        <v>1</v>
      </c>
      <c r="E215" s="5" t="n">
        <f aca="false">IF(D215=0,0,_xlfn.MAXIFS('Pickup log'!$H$2:$H$225,'Pickup log'!$K$2:$K$225,A215,'Pickup log'!$D$2:$D$225,B215,'Pickup log'!$G$2:$G$225,C215))</f>
        <v>2.5</v>
      </c>
      <c r="F215" s="5" t="n">
        <f aca="false">IF(D215=0,0,2*E215+Notes!$B$25*(D215-1))</f>
        <v>5</v>
      </c>
      <c r="G215" s="14" t="n">
        <f aca="false">IF(C215="Matador",F215/Notes!$B$21*Notes!$B$22,F215/Notes!$B$23*Notes!$B$24)</f>
        <v>26.853125</v>
      </c>
      <c r="H215" s="5" t="n">
        <f aca="false">COUNTIFS('Pickup log'!$K$2:$K$225,A215,'Pickup log'!$D$2:$D$225,B215,'Pickup log'!$G$2:$G$225,C215,'Pickup log'!$E$2:$E$225,"Economy")</f>
        <v>1</v>
      </c>
      <c r="I215" s="5" t="n">
        <f aca="false">IF(H215=0,0,_xlfn.MAXIFS('Pickup log'!$H$2:$H$225,'Pickup log'!$K$2:$K$225,A215,'Pickup log'!$D$2:$D$225,B215,'Pickup log'!$G$2:$G$225,C215,'Pickup log'!$E$2:$E$225,"Economy"))</f>
        <v>2.5</v>
      </c>
      <c r="J215" s="5" t="n">
        <f aca="false">IF(H215=0,0,2*I215+Notes!$B$25*(H215-1))</f>
        <v>5</v>
      </c>
      <c r="K215" s="14" t="n">
        <f aca="false">IF(C215="Matador",J215/Notes!$B$21*Notes!$B$22,J215/Notes!$B$23*Notes!$B$24)</f>
        <v>26.853125</v>
      </c>
    </row>
    <row r="216" customFormat="false" ht="15" hidden="false" customHeight="false" outlineLevel="0" collapsed="false">
      <c r="A216" s="12" t="n">
        <v>45442</v>
      </c>
      <c r="B216" s="5" t="s">
        <v>90</v>
      </c>
      <c r="C216" s="5" t="s">
        <v>150</v>
      </c>
      <c r="D216" s="5" t="n">
        <f aca="false">COUNTIFS('Pickup log'!$K$2:$K$225,A216,'Pickup log'!$D$2:$D$225,B216,'Pickup log'!$G$2:$G$225,C216)</f>
        <v>1</v>
      </c>
      <c r="E216" s="5" t="n">
        <f aca="false">IF(D216=0,0,_xlfn.MAXIFS('Pickup log'!$H$2:$H$225,'Pickup log'!$K$2:$K$225,A216,'Pickup log'!$D$2:$D$225,B216,'Pickup log'!$G$2:$G$225,C216))</f>
        <v>5.5</v>
      </c>
      <c r="F216" s="5" t="n">
        <f aca="false">IF(D216=0,0,2*E216+Notes!$B$25*(D216-1))</f>
        <v>11</v>
      </c>
      <c r="G216" s="14" t="n">
        <f aca="false">IF(C216="Matador",F216/Notes!$B$21*Notes!$B$22,F216/Notes!$B$23*Notes!$B$24)</f>
        <v>24.4053333333333</v>
      </c>
      <c r="H216" s="5" t="n">
        <f aca="false">COUNTIFS('Pickup log'!$K$2:$K$225,A216,'Pickup log'!$D$2:$D$225,B216,'Pickup log'!$G$2:$G$225,C216,'Pickup log'!$E$2:$E$225,"Economy")</f>
        <v>0</v>
      </c>
      <c r="I216" s="5" t="n">
        <f aca="false">IF(H216=0,0,_xlfn.MAXIFS('Pickup log'!$H$2:$H$225,'Pickup log'!$K$2:$K$225,A216,'Pickup log'!$D$2:$D$225,B216,'Pickup log'!$G$2:$G$225,C216,'Pickup log'!$E$2:$E$225,"Economy"))</f>
        <v>0</v>
      </c>
      <c r="J216" s="5" t="n">
        <f aca="false">IF(H216=0,0,2*I216+Notes!$B$25*(H216-1))</f>
        <v>0</v>
      </c>
      <c r="K216" s="14" t="n">
        <f aca="false">IF(C216="Matador",J216/Notes!$B$21*Notes!$B$22,J216/Notes!$B$23*Notes!$B$24)</f>
        <v>0</v>
      </c>
    </row>
    <row r="217" customFormat="false" ht="15" hidden="false" customHeight="false" outlineLevel="0" collapsed="false">
      <c r="A217" s="12" t="n">
        <v>45442</v>
      </c>
      <c r="B217" s="5" t="s">
        <v>90</v>
      </c>
      <c r="C217" s="5" t="s">
        <v>151</v>
      </c>
      <c r="D217" s="5" t="n">
        <f aca="false">COUNTIFS('Pickup log'!$K$2:$K$225,A217,'Pickup log'!$D$2:$D$225,B217,'Pickup log'!$G$2:$G$225,C217)</f>
        <v>0</v>
      </c>
      <c r="E217" s="5" t="n">
        <f aca="false">IF(D217=0,0,_xlfn.MAXIFS('Pickup log'!$H$2:$H$225,'Pickup log'!$K$2:$K$225,A217,'Pickup log'!$D$2:$D$225,B217,'Pickup log'!$G$2:$G$225,C217))</f>
        <v>0</v>
      </c>
      <c r="F217" s="5" t="n">
        <f aca="false">IF(D217=0,0,2*E217+Notes!$B$25*(D217-1))</f>
        <v>0</v>
      </c>
      <c r="G217" s="14" t="n">
        <f aca="false">IF(C217="Matador",F217/Notes!$B$21*Notes!$B$22,F217/Notes!$B$23*Notes!$B$24)</f>
        <v>0</v>
      </c>
      <c r="H217" s="5" t="n">
        <f aca="false">COUNTIFS('Pickup log'!$K$2:$K$225,A217,'Pickup log'!$D$2:$D$225,B217,'Pickup log'!$G$2:$G$225,C217,'Pickup log'!$E$2:$E$225,"Economy")</f>
        <v>0</v>
      </c>
      <c r="I217" s="5" t="n">
        <f aca="false">IF(H217=0,0,_xlfn.MAXIFS('Pickup log'!$H$2:$H$225,'Pickup log'!$K$2:$K$225,A217,'Pickup log'!$D$2:$D$225,B217,'Pickup log'!$G$2:$G$225,C217,'Pickup log'!$E$2:$E$225,"Economy"))</f>
        <v>0</v>
      </c>
      <c r="J217" s="5" t="n">
        <f aca="false">IF(H217=0,0,2*I217+Notes!$B$25*(H217-1))</f>
        <v>0</v>
      </c>
      <c r="K217" s="14" t="n">
        <f aca="false">IF(C217="Matador",J217/Notes!$B$21*Notes!$B$22,J217/Notes!$B$23*Notes!$B$24)</f>
        <v>0</v>
      </c>
    </row>
    <row r="218" customFormat="false" ht="15" hidden="false" customHeight="false" outlineLevel="0" collapsed="false">
      <c r="A218" s="12" t="n">
        <v>45442</v>
      </c>
      <c r="B218" s="5" t="s">
        <v>101</v>
      </c>
      <c r="C218" s="5" t="s">
        <v>150</v>
      </c>
      <c r="D218" s="5" t="n">
        <f aca="false">COUNTIFS('Pickup log'!$K$2:$K$225,A218,'Pickup log'!$D$2:$D$225,B218,'Pickup log'!$G$2:$G$225,C218)</f>
        <v>1</v>
      </c>
      <c r="E218" s="5" t="n">
        <f aca="false">IF(D218=0,0,_xlfn.MAXIFS('Pickup log'!$H$2:$H$225,'Pickup log'!$K$2:$K$225,A218,'Pickup log'!$D$2:$D$225,B218,'Pickup log'!$G$2:$G$225,C218))</f>
        <v>10.5</v>
      </c>
      <c r="F218" s="5" t="n">
        <f aca="false">IF(D218=0,0,2*E218+Notes!$B$25*(D218-1))</f>
        <v>21</v>
      </c>
      <c r="G218" s="14" t="n">
        <f aca="false">IF(C218="Matador",F218/Notes!$B$21*Notes!$B$22,F218/Notes!$B$23*Notes!$B$24)</f>
        <v>46.592</v>
      </c>
      <c r="H218" s="5" t="n">
        <f aca="false">COUNTIFS('Pickup log'!$K$2:$K$225,A218,'Pickup log'!$D$2:$D$225,B218,'Pickup log'!$G$2:$G$225,C218,'Pickup log'!$E$2:$E$225,"Economy")</f>
        <v>1</v>
      </c>
      <c r="I218" s="5" t="n">
        <f aca="false">IF(H218=0,0,_xlfn.MAXIFS('Pickup log'!$H$2:$H$225,'Pickup log'!$K$2:$K$225,A218,'Pickup log'!$D$2:$D$225,B218,'Pickup log'!$G$2:$G$225,C218,'Pickup log'!$E$2:$E$225,"Economy"))</f>
        <v>10.5</v>
      </c>
      <c r="J218" s="5" t="n">
        <f aca="false">IF(H218=0,0,2*I218+Notes!$B$25*(H218-1))</f>
        <v>21</v>
      </c>
      <c r="K218" s="14" t="n">
        <f aca="false">IF(C218="Matador",J218/Notes!$B$21*Notes!$B$22,J218/Notes!$B$23*Notes!$B$24)</f>
        <v>46.592</v>
      </c>
    </row>
    <row r="219" customFormat="false" ht="15" hidden="false" customHeight="false" outlineLevel="0" collapsed="false">
      <c r="A219" s="12" t="n">
        <v>45442</v>
      </c>
      <c r="B219" s="5" t="s">
        <v>101</v>
      </c>
      <c r="C219" s="5" t="s">
        <v>151</v>
      </c>
      <c r="D219" s="5" t="n">
        <f aca="false">COUNTIFS('Pickup log'!$K$2:$K$225,A219,'Pickup log'!$D$2:$D$225,B219,'Pickup log'!$G$2:$G$225,C219)</f>
        <v>1</v>
      </c>
      <c r="E219" s="5" t="n">
        <f aca="false">IF(D219=0,0,_xlfn.MAXIFS('Pickup log'!$H$2:$H$225,'Pickup log'!$K$2:$K$225,A219,'Pickup log'!$D$2:$D$225,B219,'Pickup log'!$G$2:$G$225,C219))</f>
        <v>14.5</v>
      </c>
      <c r="F219" s="5" t="n">
        <f aca="false">IF(D219=0,0,2*E219+Notes!$B$25*(D219-1))</f>
        <v>29</v>
      </c>
      <c r="G219" s="14" t="n">
        <f aca="false">IF(C219="Matador",F219/Notes!$B$21*Notes!$B$22,F219/Notes!$B$23*Notes!$B$24)</f>
        <v>155.748125</v>
      </c>
      <c r="H219" s="5" t="n">
        <f aca="false">COUNTIFS('Pickup log'!$K$2:$K$225,A219,'Pickup log'!$D$2:$D$225,B219,'Pickup log'!$G$2:$G$225,C219,'Pickup log'!$E$2:$E$225,"Economy")</f>
        <v>0</v>
      </c>
      <c r="I219" s="5" t="n">
        <f aca="false">IF(H219=0,0,_xlfn.MAXIFS('Pickup log'!$H$2:$H$225,'Pickup log'!$K$2:$K$225,A219,'Pickup log'!$D$2:$D$225,B219,'Pickup log'!$G$2:$G$225,C219,'Pickup log'!$E$2:$E$225,"Economy"))</f>
        <v>0</v>
      </c>
      <c r="J219" s="5" t="n">
        <f aca="false">IF(H219=0,0,2*I219+Notes!$B$25*(H219-1))</f>
        <v>0</v>
      </c>
      <c r="K219" s="14" t="n">
        <f aca="false">IF(C219="Matador",J219/Notes!$B$21*Notes!$B$22,J219/Notes!$B$23*Notes!$B$24)</f>
        <v>0</v>
      </c>
    </row>
    <row r="220" customFormat="false" ht="15" hidden="false" customHeight="false" outlineLevel="0" collapsed="false">
      <c r="A220" s="12" t="n">
        <v>45442</v>
      </c>
      <c r="B220" s="5" t="s">
        <v>114</v>
      </c>
      <c r="C220" s="5" t="s">
        <v>150</v>
      </c>
      <c r="D220" s="5" t="n">
        <f aca="false">COUNTIFS('Pickup log'!$K$2:$K$225,A220,'Pickup log'!$D$2:$D$225,B220,'Pickup log'!$G$2:$G$225,C220)</f>
        <v>3</v>
      </c>
      <c r="E220" s="5" t="n">
        <f aca="false">IF(D220=0,0,_xlfn.MAXIFS('Pickup log'!$H$2:$H$225,'Pickup log'!$K$2:$K$225,A220,'Pickup log'!$D$2:$D$225,B220,'Pickup log'!$G$2:$G$225,C220))</f>
        <v>24</v>
      </c>
      <c r="F220" s="5" t="n">
        <f aca="false">IF(D220=0,0,2*E220+Notes!$B$25*(D220-1))</f>
        <v>52</v>
      </c>
      <c r="G220" s="14" t="n">
        <f aca="false">IF(C220="Matador",F220/Notes!$B$21*Notes!$B$22,F220/Notes!$B$23*Notes!$B$24)</f>
        <v>115.370666666667</v>
      </c>
      <c r="H220" s="5" t="n">
        <f aca="false">COUNTIFS('Pickup log'!$K$2:$K$225,A220,'Pickup log'!$D$2:$D$225,B220,'Pickup log'!$G$2:$G$225,C220,'Pickup log'!$E$2:$E$225,"Economy")</f>
        <v>2</v>
      </c>
      <c r="I220" s="5" t="n">
        <f aca="false">IF(H220=0,0,_xlfn.MAXIFS('Pickup log'!$H$2:$H$225,'Pickup log'!$K$2:$K$225,A220,'Pickup log'!$D$2:$D$225,B220,'Pickup log'!$G$2:$G$225,C220,'Pickup log'!$E$2:$E$225,"Economy"))</f>
        <v>24</v>
      </c>
      <c r="J220" s="5" t="n">
        <f aca="false">IF(H220=0,0,2*I220+Notes!$B$25*(H220-1))</f>
        <v>50</v>
      </c>
      <c r="K220" s="14" t="n">
        <f aca="false">IF(C220="Matador",J220/Notes!$B$21*Notes!$B$22,J220/Notes!$B$23*Notes!$B$24)</f>
        <v>110.933333333333</v>
      </c>
    </row>
    <row r="221" customFormat="false" ht="15" hidden="false" customHeight="false" outlineLevel="0" collapsed="false">
      <c r="A221" s="12" t="n">
        <v>45442</v>
      </c>
      <c r="B221" s="5" t="s">
        <v>114</v>
      </c>
      <c r="C221" s="5" t="s">
        <v>151</v>
      </c>
      <c r="D221" s="5" t="n">
        <f aca="false">COUNTIFS('Pickup log'!$K$2:$K$225,A221,'Pickup log'!$D$2:$D$225,B221,'Pickup log'!$G$2:$G$225,C221)</f>
        <v>0</v>
      </c>
      <c r="E221" s="5" t="n">
        <f aca="false">IF(D221=0,0,_xlfn.MAXIFS('Pickup log'!$H$2:$H$225,'Pickup log'!$K$2:$K$225,A221,'Pickup log'!$D$2:$D$225,B221,'Pickup log'!$G$2:$G$225,C221))</f>
        <v>0</v>
      </c>
      <c r="F221" s="5" t="n">
        <f aca="false">IF(D221=0,0,2*E221+Notes!$B$25*(D221-1))</f>
        <v>0</v>
      </c>
      <c r="G221" s="14" t="n">
        <f aca="false">IF(C221="Matador",F221/Notes!$B$21*Notes!$B$22,F221/Notes!$B$23*Notes!$B$24)</f>
        <v>0</v>
      </c>
      <c r="H221" s="5" t="n">
        <f aca="false">COUNTIFS('Pickup log'!$K$2:$K$225,A221,'Pickup log'!$D$2:$D$225,B221,'Pickup log'!$G$2:$G$225,C221,'Pickup log'!$E$2:$E$225,"Economy")</f>
        <v>0</v>
      </c>
      <c r="I221" s="5" t="n">
        <f aca="false">IF(H221=0,0,_xlfn.MAXIFS('Pickup log'!$H$2:$H$225,'Pickup log'!$K$2:$K$225,A221,'Pickup log'!$D$2:$D$225,B221,'Pickup log'!$G$2:$G$225,C221,'Pickup log'!$E$2:$E$225,"Economy"))</f>
        <v>0</v>
      </c>
      <c r="J221" s="5" t="n">
        <f aca="false">IF(H221=0,0,2*I221+Notes!$B$25*(H221-1))</f>
        <v>0</v>
      </c>
      <c r="K221" s="14" t="n">
        <f aca="false">IF(C221="Matador",J221/Notes!$B$21*Notes!$B$22,J221/Notes!$B$23*Notes!$B$24)</f>
        <v>0</v>
      </c>
    </row>
    <row r="222" customFormat="false" ht="15" hidden="false" customHeight="false" outlineLevel="0" collapsed="false">
      <c r="A222" s="12" t="n">
        <v>45443</v>
      </c>
      <c r="B222" s="5" t="s">
        <v>56</v>
      </c>
      <c r="C222" s="5" t="s">
        <v>150</v>
      </c>
      <c r="D222" s="5" t="n">
        <f aca="false">COUNTIFS('Pickup log'!$K$2:$K$225,A222,'Pickup log'!$D$2:$D$225,B222,'Pickup log'!$G$2:$G$225,C222)</f>
        <v>2</v>
      </c>
      <c r="E222" s="5" t="n">
        <f aca="false">IF(D222=0,0,_xlfn.MAXIFS('Pickup log'!$H$2:$H$225,'Pickup log'!$K$2:$K$225,A222,'Pickup log'!$D$2:$D$225,B222,'Pickup log'!$G$2:$G$225,C222))</f>
        <v>1</v>
      </c>
      <c r="F222" s="5" t="n">
        <f aca="false">IF(D222=0,0,2*E222+Notes!$B$25*(D222-1))</f>
        <v>4</v>
      </c>
      <c r="G222" s="14" t="n">
        <f aca="false">IF(C222="Matador",F222/Notes!$B$21*Notes!$B$22,F222/Notes!$B$23*Notes!$B$24)</f>
        <v>8.87466666666667</v>
      </c>
      <c r="H222" s="5" t="n">
        <f aca="false">COUNTIFS('Pickup log'!$K$2:$K$225,A222,'Pickup log'!$D$2:$D$225,B222,'Pickup log'!$G$2:$G$225,C222,'Pickup log'!$E$2:$E$225,"Economy")</f>
        <v>1</v>
      </c>
      <c r="I222" s="5" t="n">
        <f aca="false">IF(H222=0,0,_xlfn.MAXIFS('Pickup log'!$H$2:$H$225,'Pickup log'!$K$2:$K$225,A222,'Pickup log'!$D$2:$D$225,B222,'Pickup log'!$G$2:$G$225,C222,'Pickup log'!$E$2:$E$225,"Economy"))</f>
        <v>1</v>
      </c>
      <c r="J222" s="5" t="n">
        <f aca="false">IF(H222=0,0,2*I222+Notes!$B$25*(H222-1))</f>
        <v>2</v>
      </c>
      <c r="K222" s="14" t="n">
        <f aca="false">IF(C222="Matador",J222/Notes!$B$21*Notes!$B$22,J222/Notes!$B$23*Notes!$B$24)</f>
        <v>4.43733333333333</v>
      </c>
    </row>
    <row r="223" customFormat="false" ht="15" hidden="false" customHeight="false" outlineLevel="0" collapsed="false">
      <c r="A223" s="12" t="n">
        <v>45443</v>
      </c>
      <c r="B223" s="5" t="s">
        <v>56</v>
      </c>
      <c r="C223" s="5" t="s">
        <v>151</v>
      </c>
      <c r="D223" s="5" t="n">
        <f aca="false">COUNTIFS('Pickup log'!$K$2:$K$225,A223,'Pickup log'!$D$2:$D$225,B223,'Pickup log'!$G$2:$G$225,C223)</f>
        <v>2</v>
      </c>
      <c r="E223" s="5" t="n">
        <f aca="false">IF(D223=0,0,_xlfn.MAXIFS('Pickup log'!$H$2:$H$225,'Pickup log'!$K$2:$K$225,A223,'Pickup log'!$D$2:$D$225,B223,'Pickup log'!$G$2:$G$225,C223))</f>
        <v>2</v>
      </c>
      <c r="F223" s="5" t="n">
        <f aca="false">IF(D223=0,0,2*E223+Notes!$B$25*(D223-1))</f>
        <v>6</v>
      </c>
      <c r="G223" s="14" t="n">
        <f aca="false">IF(C223="Matador",F223/Notes!$B$21*Notes!$B$22,F223/Notes!$B$23*Notes!$B$24)</f>
        <v>32.22375</v>
      </c>
      <c r="H223" s="5" t="n">
        <f aca="false">COUNTIFS('Pickup log'!$K$2:$K$225,A223,'Pickup log'!$D$2:$D$225,B223,'Pickup log'!$G$2:$G$225,C223,'Pickup log'!$E$2:$E$225,"Economy")</f>
        <v>1</v>
      </c>
      <c r="I223" s="5" t="n">
        <f aca="false">IF(H223=0,0,_xlfn.MAXIFS('Pickup log'!$H$2:$H$225,'Pickup log'!$K$2:$K$225,A223,'Pickup log'!$D$2:$D$225,B223,'Pickup log'!$G$2:$G$225,C223,'Pickup log'!$E$2:$E$225,"Economy"))</f>
        <v>2</v>
      </c>
      <c r="J223" s="5" t="n">
        <f aca="false">IF(H223=0,0,2*I223+Notes!$B$25*(H223-1))</f>
        <v>4</v>
      </c>
      <c r="K223" s="14" t="n">
        <f aca="false">IF(C223="Matador",J223/Notes!$B$21*Notes!$B$22,J223/Notes!$B$23*Notes!$B$24)</f>
        <v>21.4825</v>
      </c>
    </row>
    <row r="224" customFormat="false" ht="15" hidden="false" customHeight="false" outlineLevel="0" collapsed="false">
      <c r="A224" s="12" t="n">
        <v>45443</v>
      </c>
      <c r="B224" s="5" t="s">
        <v>73</v>
      </c>
      <c r="C224" s="5" t="s">
        <v>150</v>
      </c>
      <c r="D224" s="5" t="n">
        <f aca="false">COUNTIFS('Pickup log'!$K$2:$K$225,A224,'Pickup log'!$D$2:$D$225,B224,'Pickup log'!$G$2:$G$225,C224)</f>
        <v>4</v>
      </c>
      <c r="E224" s="5" t="n">
        <f aca="false">IF(D224=0,0,_xlfn.MAXIFS('Pickup log'!$H$2:$H$225,'Pickup log'!$K$2:$K$225,A224,'Pickup log'!$D$2:$D$225,B224,'Pickup log'!$G$2:$G$225,C224))</f>
        <v>9.5</v>
      </c>
      <c r="F224" s="5" t="n">
        <f aca="false">IF(D224=0,0,2*E224+Notes!$B$25*(D224-1))</f>
        <v>25</v>
      </c>
      <c r="G224" s="14" t="n">
        <f aca="false">IF(C224="Matador",F224/Notes!$B$21*Notes!$B$22,F224/Notes!$B$23*Notes!$B$24)</f>
        <v>55.4666666666667</v>
      </c>
      <c r="H224" s="5" t="n">
        <f aca="false">COUNTIFS('Pickup log'!$K$2:$K$225,A224,'Pickup log'!$D$2:$D$225,B224,'Pickup log'!$G$2:$G$225,C224,'Pickup log'!$E$2:$E$225,"Economy")</f>
        <v>3</v>
      </c>
      <c r="I224" s="5" t="n">
        <f aca="false">IF(H224=0,0,_xlfn.MAXIFS('Pickup log'!$H$2:$H$225,'Pickup log'!$K$2:$K$225,A224,'Pickup log'!$D$2:$D$225,B224,'Pickup log'!$G$2:$G$225,C224,'Pickup log'!$E$2:$E$225,"Economy"))</f>
        <v>9.5</v>
      </c>
      <c r="J224" s="5" t="n">
        <f aca="false">IF(H224=0,0,2*I224+Notes!$B$25*(H224-1))</f>
        <v>23</v>
      </c>
      <c r="K224" s="14" t="n">
        <f aca="false">IF(C224="Matador",J224/Notes!$B$21*Notes!$B$22,J224/Notes!$B$23*Notes!$B$24)</f>
        <v>51.0293333333333</v>
      </c>
    </row>
    <row r="225" customFormat="false" ht="15" hidden="false" customHeight="false" outlineLevel="0" collapsed="false">
      <c r="A225" s="12" t="n">
        <v>45443</v>
      </c>
      <c r="B225" s="5" t="s">
        <v>73</v>
      </c>
      <c r="C225" s="5" t="s">
        <v>151</v>
      </c>
      <c r="D225" s="5" t="n">
        <f aca="false">COUNTIFS('Pickup log'!$K$2:$K$225,A225,'Pickup log'!$D$2:$D$225,B225,'Pickup log'!$G$2:$G$225,C225)</f>
        <v>1</v>
      </c>
      <c r="E225" s="5" t="n">
        <f aca="false">IF(D225=0,0,_xlfn.MAXIFS('Pickup log'!$H$2:$H$225,'Pickup log'!$K$2:$K$225,A225,'Pickup log'!$D$2:$D$225,B225,'Pickup log'!$G$2:$G$225,C225))</f>
        <v>11.5</v>
      </c>
      <c r="F225" s="5" t="n">
        <f aca="false">IF(D225=0,0,2*E225+Notes!$B$25*(D225-1))</f>
        <v>23</v>
      </c>
      <c r="G225" s="14" t="n">
        <f aca="false">IF(C225="Matador",F225/Notes!$B$21*Notes!$B$22,F225/Notes!$B$23*Notes!$B$24)</f>
        <v>123.524375</v>
      </c>
      <c r="H225" s="5" t="n">
        <f aca="false">COUNTIFS('Pickup log'!$K$2:$K$225,A225,'Pickup log'!$D$2:$D$225,B225,'Pickup log'!$G$2:$G$225,C225,'Pickup log'!$E$2:$E$225,"Economy")</f>
        <v>1</v>
      </c>
      <c r="I225" s="5" t="n">
        <f aca="false">IF(H225=0,0,_xlfn.MAXIFS('Pickup log'!$H$2:$H$225,'Pickup log'!$K$2:$K$225,A225,'Pickup log'!$D$2:$D$225,B225,'Pickup log'!$G$2:$G$225,C225,'Pickup log'!$E$2:$E$225,"Economy"))</f>
        <v>11.5</v>
      </c>
      <c r="J225" s="5" t="n">
        <f aca="false">IF(H225=0,0,2*I225+Notes!$B$25*(H225-1))</f>
        <v>23</v>
      </c>
      <c r="K225" s="14" t="n">
        <f aca="false">IF(C225="Matador",J225/Notes!$B$21*Notes!$B$22,J225/Notes!$B$23*Notes!$B$24)</f>
        <v>123.524375</v>
      </c>
    </row>
    <row r="226" customFormat="false" ht="15" hidden="false" customHeight="false" outlineLevel="0" collapsed="false">
      <c r="A226" s="12" t="n">
        <v>45443</v>
      </c>
      <c r="B226" s="5" t="s">
        <v>90</v>
      </c>
      <c r="C226" s="5" t="s">
        <v>150</v>
      </c>
      <c r="D226" s="5" t="n">
        <f aca="false">COUNTIFS('Pickup log'!$K$2:$K$225,A226,'Pickup log'!$D$2:$D$225,B226,'Pickup log'!$G$2:$G$225,C226)</f>
        <v>1</v>
      </c>
      <c r="E226" s="5" t="n">
        <f aca="false">IF(D226=0,0,_xlfn.MAXIFS('Pickup log'!$H$2:$H$225,'Pickup log'!$K$2:$K$225,A226,'Pickup log'!$D$2:$D$225,B226,'Pickup log'!$G$2:$G$225,C226))</f>
        <v>4.5</v>
      </c>
      <c r="F226" s="5" t="n">
        <f aca="false">IF(D226=0,0,2*E226+Notes!$B$25*(D226-1))</f>
        <v>9</v>
      </c>
      <c r="G226" s="14" t="n">
        <f aca="false">IF(C226="Matador",F226/Notes!$B$21*Notes!$B$22,F226/Notes!$B$23*Notes!$B$24)</f>
        <v>19.968</v>
      </c>
      <c r="H226" s="5" t="n">
        <f aca="false">COUNTIFS('Pickup log'!$K$2:$K$225,A226,'Pickup log'!$D$2:$D$225,B226,'Pickup log'!$G$2:$G$225,C226,'Pickup log'!$E$2:$E$225,"Economy")</f>
        <v>0</v>
      </c>
      <c r="I226" s="5" t="n">
        <f aca="false">IF(H226=0,0,_xlfn.MAXIFS('Pickup log'!$H$2:$H$225,'Pickup log'!$K$2:$K$225,A226,'Pickup log'!$D$2:$D$225,B226,'Pickup log'!$G$2:$G$225,C226,'Pickup log'!$E$2:$E$225,"Economy"))</f>
        <v>0</v>
      </c>
      <c r="J226" s="5" t="n">
        <f aca="false">IF(H226=0,0,2*I226+Notes!$B$25*(H226-1))</f>
        <v>0</v>
      </c>
      <c r="K226" s="14" t="n">
        <f aca="false">IF(C226="Matador",J226/Notes!$B$21*Notes!$B$22,J226/Notes!$B$23*Notes!$B$24)</f>
        <v>0</v>
      </c>
    </row>
    <row r="227" customFormat="false" ht="15" hidden="false" customHeight="false" outlineLevel="0" collapsed="false">
      <c r="A227" s="12" t="n">
        <v>45443</v>
      </c>
      <c r="B227" s="5" t="s">
        <v>90</v>
      </c>
      <c r="C227" s="5" t="s">
        <v>151</v>
      </c>
      <c r="D227" s="5" t="n">
        <f aca="false">COUNTIFS('Pickup log'!$K$2:$K$225,A227,'Pickup log'!$D$2:$D$225,B227,'Pickup log'!$G$2:$G$225,C227)</f>
        <v>0</v>
      </c>
      <c r="E227" s="5" t="n">
        <f aca="false">IF(D227=0,0,_xlfn.MAXIFS('Pickup log'!$H$2:$H$225,'Pickup log'!$K$2:$K$225,A227,'Pickup log'!$D$2:$D$225,B227,'Pickup log'!$G$2:$G$225,C227))</f>
        <v>0</v>
      </c>
      <c r="F227" s="5" t="n">
        <f aca="false">IF(D227=0,0,2*E227+Notes!$B$25*(D227-1))</f>
        <v>0</v>
      </c>
      <c r="G227" s="14" t="n">
        <f aca="false">IF(C227="Matador",F227/Notes!$B$21*Notes!$B$22,F227/Notes!$B$23*Notes!$B$24)</f>
        <v>0</v>
      </c>
      <c r="H227" s="5" t="n">
        <f aca="false">COUNTIFS('Pickup log'!$K$2:$K$225,A227,'Pickup log'!$D$2:$D$225,B227,'Pickup log'!$G$2:$G$225,C227,'Pickup log'!$E$2:$E$225,"Economy")</f>
        <v>0</v>
      </c>
      <c r="I227" s="5" t="n">
        <f aca="false">IF(H227=0,0,_xlfn.MAXIFS('Pickup log'!$H$2:$H$225,'Pickup log'!$K$2:$K$225,A227,'Pickup log'!$D$2:$D$225,B227,'Pickup log'!$G$2:$G$225,C227,'Pickup log'!$E$2:$E$225,"Economy"))</f>
        <v>0</v>
      </c>
      <c r="J227" s="5" t="n">
        <f aca="false">IF(H227=0,0,2*I227+Notes!$B$25*(H227-1))</f>
        <v>0</v>
      </c>
      <c r="K227" s="14" t="n">
        <f aca="false">IF(C227="Matador",J227/Notes!$B$21*Notes!$B$22,J227/Notes!$B$23*Notes!$B$24)</f>
        <v>0</v>
      </c>
    </row>
    <row r="228" customFormat="false" ht="15" hidden="false" customHeight="false" outlineLevel="0" collapsed="false">
      <c r="A228" s="12" t="n">
        <v>45443</v>
      </c>
      <c r="B228" s="5" t="s">
        <v>101</v>
      </c>
      <c r="C228" s="5" t="s">
        <v>150</v>
      </c>
      <c r="D228" s="5" t="n">
        <f aca="false">COUNTIFS('Pickup log'!$K$2:$K$225,A228,'Pickup log'!$D$2:$D$225,B228,'Pickup log'!$G$2:$G$225,C228)</f>
        <v>1</v>
      </c>
      <c r="E228" s="5" t="n">
        <f aca="false">IF(D228=0,0,_xlfn.MAXIFS('Pickup log'!$H$2:$H$225,'Pickup log'!$K$2:$K$225,A228,'Pickup log'!$D$2:$D$225,B228,'Pickup log'!$G$2:$G$225,C228))</f>
        <v>14.5</v>
      </c>
      <c r="F228" s="5" t="n">
        <f aca="false">IF(D228=0,0,2*E228+Notes!$B$25*(D228-1))</f>
        <v>29</v>
      </c>
      <c r="G228" s="14" t="n">
        <f aca="false">IF(C228="Matador",F228/Notes!$B$21*Notes!$B$22,F228/Notes!$B$23*Notes!$B$24)</f>
        <v>64.3413333333333</v>
      </c>
      <c r="H228" s="5" t="n">
        <f aca="false">COUNTIFS('Pickup log'!$K$2:$K$225,A228,'Pickup log'!$D$2:$D$225,B228,'Pickup log'!$G$2:$G$225,C228,'Pickup log'!$E$2:$E$225,"Economy")</f>
        <v>1</v>
      </c>
      <c r="I228" s="5" t="n">
        <f aca="false">IF(H228=0,0,_xlfn.MAXIFS('Pickup log'!$H$2:$H$225,'Pickup log'!$K$2:$K$225,A228,'Pickup log'!$D$2:$D$225,B228,'Pickup log'!$G$2:$G$225,C228,'Pickup log'!$E$2:$E$225,"Economy"))</f>
        <v>14.5</v>
      </c>
      <c r="J228" s="5" t="n">
        <f aca="false">IF(H228=0,0,2*I228+Notes!$B$25*(H228-1))</f>
        <v>29</v>
      </c>
      <c r="K228" s="14" t="n">
        <f aca="false">IF(C228="Matador",J228/Notes!$B$21*Notes!$B$22,J228/Notes!$B$23*Notes!$B$24)</f>
        <v>64.3413333333333</v>
      </c>
    </row>
    <row r="229" customFormat="false" ht="15" hidden="false" customHeight="false" outlineLevel="0" collapsed="false">
      <c r="A229" s="12" t="n">
        <v>45443</v>
      </c>
      <c r="B229" s="5" t="s">
        <v>101</v>
      </c>
      <c r="C229" s="5" t="s">
        <v>151</v>
      </c>
      <c r="D229" s="5" t="n">
        <f aca="false">COUNTIFS('Pickup log'!$K$2:$K$225,A229,'Pickup log'!$D$2:$D$225,B229,'Pickup log'!$G$2:$G$225,C229)</f>
        <v>0</v>
      </c>
      <c r="E229" s="5" t="n">
        <f aca="false">IF(D229=0,0,_xlfn.MAXIFS('Pickup log'!$H$2:$H$225,'Pickup log'!$K$2:$K$225,A229,'Pickup log'!$D$2:$D$225,B229,'Pickup log'!$G$2:$G$225,C229))</f>
        <v>0</v>
      </c>
      <c r="F229" s="5" t="n">
        <f aca="false">IF(D229=0,0,2*E229+Notes!$B$25*(D229-1))</f>
        <v>0</v>
      </c>
      <c r="G229" s="14" t="n">
        <f aca="false">IF(C229="Matador",F229/Notes!$B$21*Notes!$B$22,F229/Notes!$B$23*Notes!$B$24)</f>
        <v>0</v>
      </c>
      <c r="H229" s="5" t="n">
        <f aca="false">COUNTIFS('Pickup log'!$K$2:$K$225,A229,'Pickup log'!$D$2:$D$225,B229,'Pickup log'!$G$2:$G$225,C229,'Pickup log'!$E$2:$E$225,"Economy")</f>
        <v>0</v>
      </c>
      <c r="I229" s="5" t="n">
        <f aca="false">IF(H229=0,0,_xlfn.MAXIFS('Pickup log'!$H$2:$H$225,'Pickup log'!$K$2:$K$225,A229,'Pickup log'!$D$2:$D$225,B229,'Pickup log'!$G$2:$G$225,C229,'Pickup log'!$E$2:$E$225,"Economy"))</f>
        <v>0</v>
      </c>
      <c r="J229" s="5" t="n">
        <f aca="false">IF(H229=0,0,2*I229+Notes!$B$25*(H229-1))</f>
        <v>0</v>
      </c>
      <c r="K229" s="14" t="n">
        <f aca="false">IF(C229="Matador",J229/Notes!$B$21*Notes!$B$22,J229/Notes!$B$23*Notes!$B$24)</f>
        <v>0</v>
      </c>
    </row>
    <row r="230" customFormat="false" ht="15" hidden="false" customHeight="false" outlineLevel="0" collapsed="false">
      <c r="A230" s="12" t="n">
        <v>45443</v>
      </c>
      <c r="B230" s="5" t="s">
        <v>114</v>
      </c>
      <c r="C230" s="5" t="s">
        <v>150</v>
      </c>
      <c r="D230" s="5" t="n">
        <f aca="false">COUNTIFS('Pickup log'!$K$2:$K$225,A230,'Pickup log'!$D$2:$D$225,B230,'Pickup log'!$G$2:$G$225,C230)</f>
        <v>0</v>
      </c>
      <c r="E230" s="5" t="n">
        <f aca="false">IF(D230=0,0,_xlfn.MAXIFS('Pickup log'!$H$2:$H$225,'Pickup log'!$K$2:$K$225,A230,'Pickup log'!$D$2:$D$225,B230,'Pickup log'!$G$2:$G$225,C230))</f>
        <v>0</v>
      </c>
      <c r="F230" s="5" t="n">
        <f aca="false">IF(D230=0,0,2*E230+Notes!$B$25*(D230-1))</f>
        <v>0</v>
      </c>
      <c r="G230" s="14" t="n">
        <f aca="false">IF(C230="Matador",F230/Notes!$B$21*Notes!$B$22,F230/Notes!$B$23*Notes!$B$24)</f>
        <v>0</v>
      </c>
      <c r="H230" s="5" t="n">
        <f aca="false">COUNTIFS('Pickup log'!$K$2:$K$225,A230,'Pickup log'!$D$2:$D$225,B230,'Pickup log'!$G$2:$G$225,C230,'Pickup log'!$E$2:$E$225,"Economy")</f>
        <v>0</v>
      </c>
      <c r="I230" s="5" t="n">
        <f aca="false">IF(H230=0,0,_xlfn.MAXIFS('Pickup log'!$H$2:$H$225,'Pickup log'!$K$2:$K$225,A230,'Pickup log'!$D$2:$D$225,B230,'Pickup log'!$G$2:$G$225,C230,'Pickup log'!$E$2:$E$225,"Economy"))</f>
        <v>0</v>
      </c>
      <c r="J230" s="5" t="n">
        <f aca="false">IF(H230=0,0,2*I230+Notes!$B$25*(H230-1))</f>
        <v>0</v>
      </c>
      <c r="K230" s="14" t="n">
        <f aca="false">IF(C230="Matador",J230/Notes!$B$21*Notes!$B$22,J230/Notes!$B$23*Notes!$B$24)</f>
        <v>0</v>
      </c>
    </row>
    <row r="231" customFormat="false" ht="15" hidden="false" customHeight="false" outlineLevel="0" collapsed="false">
      <c r="A231" s="12" t="n">
        <v>45443</v>
      </c>
      <c r="B231" s="5" t="s">
        <v>114</v>
      </c>
      <c r="C231" s="5" t="s">
        <v>151</v>
      </c>
      <c r="D231" s="5" t="n">
        <f aca="false">COUNTIFS('Pickup log'!$K$2:$K$225,A231,'Pickup log'!$D$2:$D$225,B231,'Pickup log'!$G$2:$G$225,C231)</f>
        <v>0</v>
      </c>
      <c r="E231" s="5" t="n">
        <f aca="false">IF(D231=0,0,_xlfn.MAXIFS('Pickup log'!$H$2:$H$225,'Pickup log'!$K$2:$K$225,A231,'Pickup log'!$D$2:$D$225,B231,'Pickup log'!$G$2:$G$225,C231))</f>
        <v>0</v>
      </c>
      <c r="F231" s="5" t="n">
        <f aca="false">IF(D231=0,0,2*E231+Notes!$B$25*(D231-1))</f>
        <v>0</v>
      </c>
      <c r="G231" s="14" t="n">
        <f aca="false">IF(C231="Matador",F231/Notes!$B$21*Notes!$B$22,F231/Notes!$B$23*Notes!$B$24)</f>
        <v>0</v>
      </c>
      <c r="H231" s="5" t="n">
        <f aca="false">COUNTIFS('Pickup log'!$K$2:$K$225,A231,'Pickup log'!$D$2:$D$225,B231,'Pickup log'!$G$2:$G$225,C231,'Pickup log'!$E$2:$E$225,"Economy")</f>
        <v>0</v>
      </c>
      <c r="I231" s="5" t="n">
        <f aca="false">IF(H231=0,0,_xlfn.MAXIFS('Pickup log'!$H$2:$H$225,'Pickup log'!$K$2:$K$225,A231,'Pickup log'!$D$2:$D$225,B231,'Pickup log'!$G$2:$G$225,C231,'Pickup log'!$E$2:$E$225,"Economy"))</f>
        <v>0</v>
      </c>
      <c r="J231" s="5" t="n">
        <f aca="false">IF(H231=0,0,2*I231+Notes!$B$25*(H231-1))</f>
        <v>0</v>
      </c>
      <c r="K231" s="14" t="n">
        <f aca="false">IF(C231="Matador",J231/Notes!$B$21*Notes!$B$22,J231/Notes!$B$23*Notes!$B$24)</f>
        <v>0</v>
      </c>
    </row>
    <row r="232" customFormat="false" ht="15" hidden="false" customHeight="false" outlineLevel="0" collapsed="false">
      <c r="A232" s="12" t="n">
        <v>45444</v>
      </c>
      <c r="B232" s="5" t="s">
        <v>56</v>
      </c>
      <c r="C232" s="5" t="s">
        <v>150</v>
      </c>
      <c r="D232" s="5" t="n">
        <f aca="false">COUNTIFS('Pickup log'!$K$2:$K$225,A232,'Pickup log'!$D$2:$D$225,B232,'Pickup log'!$G$2:$G$225,C232)</f>
        <v>3</v>
      </c>
      <c r="E232" s="5" t="n">
        <f aca="false">IF(D232=0,0,_xlfn.MAXIFS('Pickup log'!$H$2:$H$225,'Pickup log'!$K$2:$K$225,A232,'Pickup log'!$D$2:$D$225,B232,'Pickup log'!$G$2:$G$225,C232))</f>
        <v>6</v>
      </c>
      <c r="F232" s="5" t="n">
        <f aca="false">IF(D232=0,0,2*E232+Notes!$B$25*(D232-1))</f>
        <v>16</v>
      </c>
      <c r="G232" s="14" t="n">
        <f aca="false">IF(C232="Matador",F232/Notes!$B$21*Notes!$B$22,F232/Notes!$B$23*Notes!$B$24)</f>
        <v>35.4986666666667</v>
      </c>
      <c r="H232" s="5" t="n">
        <f aca="false">COUNTIFS('Pickup log'!$K$2:$K$225,A232,'Pickup log'!$D$2:$D$225,B232,'Pickup log'!$G$2:$G$225,C232,'Pickup log'!$E$2:$E$225,"Economy")</f>
        <v>0</v>
      </c>
      <c r="I232" s="5" t="n">
        <f aca="false">IF(H232=0,0,_xlfn.MAXIFS('Pickup log'!$H$2:$H$225,'Pickup log'!$K$2:$K$225,A232,'Pickup log'!$D$2:$D$225,B232,'Pickup log'!$G$2:$G$225,C232,'Pickup log'!$E$2:$E$225,"Economy"))</f>
        <v>0</v>
      </c>
      <c r="J232" s="5" t="n">
        <f aca="false">IF(H232=0,0,2*I232+Notes!$B$25*(H232-1))</f>
        <v>0</v>
      </c>
      <c r="K232" s="14" t="n">
        <f aca="false">IF(C232="Matador",J232/Notes!$B$21*Notes!$B$22,J232/Notes!$B$23*Notes!$B$24)</f>
        <v>0</v>
      </c>
    </row>
    <row r="233" customFormat="false" ht="15" hidden="false" customHeight="false" outlineLevel="0" collapsed="false">
      <c r="A233" s="12" t="n">
        <v>45444</v>
      </c>
      <c r="B233" s="5" t="s">
        <v>56</v>
      </c>
      <c r="C233" s="5" t="s">
        <v>151</v>
      </c>
      <c r="D233" s="5" t="n">
        <f aca="false">COUNTIFS('Pickup log'!$K$2:$K$225,A233,'Pickup log'!$D$2:$D$225,B233,'Pickup log'!$G$2:$G$225,C233)</f>
        <v>1</v>
      </c>
      <c r="E233" s="5" t="n">
        <f aca="false">IF(D233=0,0,_xlfn.MAXIFS('Pickup log'!$H$2:$H$225,'Pickup log'!$K$2:$K$225,A233,'Pickup log'!$D$2:$D$225,B233,'Pickup log'!$G$2:$G$225,C233))</f>
        <v>2</v>
      </c>
      <c r="F233" s="5" t="n">
        <f aca="false">IF(D233=0,0,2*E233+Notes!$B$25*(D233-1))</f>
        <v>4</v>
      </c>
      <c r="G233" s="14" t="n">
        <f aca="false">IF(C233="Matador",F233/Notes!$B$21*Notes!$B$22,F233/Notes!$B$23*Notes!$B$24)</f>
        <v>21.4825</v>
      </c>
      <c r="H233" s="5" t="n">
        <f aca="false">COUNTIFS('Pickup log'!$K$2:$K$225,A233,'Pickup log'!$D$2:$D$225,B233,'Pickup log'!$G$2:$G$225,C233,'Pickup log'!$E$2:$E$225,"Economy")</f>
        <v>1</v>
      </c>
      <c r="I233" s="5" t="n">
        <f aca="false">IF(H233=0,0,_xlfn.MAXIFS('Pickup log'!$H$2:$H$225,'Pickup log'!$K$2:$K$225,A233,'Pickup log'!$D$2:$D$225,B233,'Pickup log'!$G$2:$G$225,C233,'Pickup log'!$E$2:$E$225,"Economy"))</f>
        <v>2</v>
      </c>
      <c r="J233" s="5" t="n">
        <f aca="false">IF(H233=0,0,2*I233+Notes!$B$25*(H233-1))</f>
        <v>4</v>
      </c>
      <c r="K233" s="14" t="n">
        <f aca="false">IF(C233="Matador",J233/Notes!$B$21*Notes!$B$22,J233/Notes!$B$23*Notes!$B$24)</f>
        <v>21.4825</v>
      </c>
    </row>
    <row r="234" customFormat="false" ht="15" hidden="false" customHeight="false" outlineLevel="0" collapsed="false">
      <c r="A234" s="12" t="n">
        <v>45444</v>
      </c>
      <c r="B234" s="5" t="s">
        <v>73</v>
      </c>
      <c r="C234" s="5" t="s">
        <v>150</v>
      </c>
      <c r="D234" s="5" t="n">
        <f aca="false">COUNTIFS('Pickup log'!$K$2:$K$225,A234,'Pickup log'!$D$2:$D$225,B234,'Pickup log'!$G$2:$G$225,C234)</f>
        <v>0</v>
      </c>
      <c r="E234" s="5" t="n">
        <f aca="false">IF(D234=0,0,_xlfn.MAXIFS('Pickup log'!$H$2:$H$225,'Pickup log'!$K$2:$K$225,A234,'Pickup log'!$D$2:$D$225,B234,'Pickup log'!$G$2:$G$225,C234))</f>
        <v>0</v>
      </c>
      <c r="F234" s="5" t="n">
        <f aca="false">IF(D234=0,0,2*E234+Notes!$B$25*(D234-1))</f>
        <v>0</v>
      </c>
      <c r="G234" s="14" t="n">
        <f aca="false">IF(C234="Matador",F234/Notes!$B$21*Notes!$B$22,F234/Notes!$B$23*Notes!$B$24)</f>
        <v>0</v>
      </c>
      <c r="H234" s="5" t="n">
        <f aca="false">COUNTIFS('Pickup log'!$K$2:$K$225,A234,'Pickup log'!$D$2:$D$225,B234,'Pickup log'!$G$2:$G$225,C234,'Pickup log'!$E$2:$E$225,"Economy")</f>
        <v>0</v>
      </c>
      <c r="I234" s="5" t="n">
        <f aca="false">IF(H234=0,0,_xlfn.MAXIFS('Pickup log'!$H$2:$H$225,'Pickup log'!$K$2:$K$225,A234,'Pickup log'!$D$2:$D$225,B234,'Pickup log'!$G$2:$G$225,C234,'Pickup log'!$E$2:$E$225,"Economy"))</f>
        <v>0</v>
      </c>
      <c r="J234" s="5" t="n">
        <f aca="false">IF(H234=0,0,2*I234+Notes!$B$25*(H234-1))</f>
        <v>0</v>
      </c>
      <c r="K234" s="14" t="n">
        <f aca="false">IF(C234="Matador",J234/Notes!$B$21*Notes!$B$22,J234/Notes!$B$23*Notes!$B$24)</f>
        <v>0</v>
      </c>
    </row>
    <row r="235" customFormat="false" ht="15" hidden="false" customHeight="false" outlineLevel="0" collapsed="false">
      <c r="A235" s="12" t="n">
        <v>45444</v>
      </c>
      <c r="B235" s="5" t="s">
        <v>73</v>
      </c>
      <c r="C235" s="5" t="s">
        <v>151</v>
      </c>
      <c r="D235" s="5" t="n">
        <f aca="false">COUNTIFS('Pickup log'!$K$2:$K$225,A235,'Pickup log'!$D$2:$D$225,B235,'Pickup log'!$G$2:$G$225,C235)</f>
        <v>1</v>
      </c>
      <c r="E235" s="5" t="n">
        <f aca="false">IF(D235=0,0,_xlfn.MAXIFS('Pickup log'!$H$2:$H$225,'Pickup log'!$K$2:$K$225,A235,'Pickup log'!$D$2:$D$225,B235,'Pickup log'!$G$2:$G$225,C235))</f>
        <v>11.5</v>
      </c>
      <c r="F235" s="5" t="n">
        <f aca="false">IF(D235=0,0,2*E235+Notes!$B$25*(D235-1))</f>
        <v>23</v>
      </c>
      <c r="G235" s="14" t="n">
        <f aca="false">IF(C235="Matador",F235/Notes!$B$21*Notes!$B$22,F235/Notes!$B$23*Notes!$B$24)</f>
        <v>123.524375</v>
      </c>
      <c r="H235" s="5" t="n">
        <f aca="false">COUNTIFS('Pickup log'!$K$2:$K$225,A235,'Pickup log'!$D$2:$D$225,B235,'Pickup log'!$G$2:$G$225,C235,'Pickup log'!$E$2:$E$225,"Economy")</f>
        <v>1</v>
      </c>
      <c r="I235" s="5" t="n">
        <f aca="false">IF(H235=0,0,_xlfn.MAXIFS('Pickup log'!$H$2:$H$225,'Pickup log'!$K$2:$K$225,A235,'Pickup log'!$D$2:$D$225,B235,'Pickup log'!$G$2:$G$225,C235,'Pickup log'!$E$2:$E$225,"Economy"))</f>
        <v>11.5</v>
      </c>
      <c r="J235" s="5" t="n">
        <f aca="false">IF(H235=0,0,2*I235+Notes!$B$25*(H235-1))</f>
        <v>23</v>
      </c>
      <c r="K235" s="14" t="n">
        <f aca="false">IF(C235="Matador",J235/Notes!$B$21*Notes!$B$22,J235/Notes!$B$23*Notes!$B$24)</f>
        <v>123.524375</v>
      </c>
    </row>
    <row r="236" customFormat="false" ht="15" hidden="false" customHeight="false" outlineLevel="0" collapsed="false">
      <c r="A236" s="12" t="n">
        <v>45444</v>
      </c>
      <c r="B236" s="5" t="s">
        <v>90</v>
      </c>
      <c r="C236" s="5" t="s">
        <v>150</v>
      </c>
      <c r="D236" s="5" t="n">
        <f aca="false">COUNTIFS('Pickup log'!$K$2:$K$225,A236,'Pickup log'!$D$2:$D$225,B236,'Pickup log'!$G$2:$G$225,C236)</f>
        <v>1</v>
      </c>
      <c r="E236" s="5" t="n">
        <f aca="false">IF(D236=0,0,_xlfn.MAXIFS('Pickup log'!$H$2:$H$225,'Pickup log'!$K$2:$K$225,A236,'Pickup log'!$D$2:$D$225,B236,'Pickup log'!$G$2:$G$225,C236))</f>
        <v>4.5</v>
      </c>
      <c r="F236" s="5" t="n">
        <f aca="false">IF(D236=0,0,2*E236+Notes!$B$25*(D236-1))</f>
        <v>9</v>
      </c>
      <c r="G236" s="14" t="n">
        <f aca="false">IF(C236="Matador",F236/Notes!$B$21*Notes!$B$22,F236/Notes!$B$23*Notes!$B$24)</f>
        <v>19.968</v>
      </c>
      <c r="H236" s="5" t="n">
        <f aca="false">COUNTIFS('Pickup log'!$K$2:$K$225,A236,'Pickup log'!$D$2:$D$225,B236,'Pickup log'!$G$2:$G$225,C236,'Pickup log'!$E$2:$E$225,"Economy")</f>
        <v>0</v>
      </c>
      <c r="I236" s="5" t="n">
        <f aca="false">IF(H236=0,0,_xlfn.MAXIFS('Pickup log'!$H$2:$H$225,'Pickup log'!$K$2:$K$225,A236,'Pickup log'!$D$2:$D$225,B236,'Pickup log'!$G$2:$G$225,C236,'Pickup log'!$E$2:$E$225,"Economy"))</f>
        <v>0</v>
      </c>
      <c r="J236" s="5" t="n">
        <f aca="false">IF(H236=0,0,2*I236+Notes!$B$25*(H236-1))</f>
        <v>0</v>
      </c>
      <c r="K236" s="14" t="n">
        <f aca="false">IF(C236="Matador",J236/Notes!$B$21*Notes!$B$22,J236/Notes!$B$23*Notes!$B$24)</f>
        <v>0</v>
      </c>
    </row>
    <row r="237" customFormat="false" ht="15" hidden="false" customHeight="false" outlineLevel="0" collapsed="false">
      <c r="A237" s="12" t="n">
        <v>45444</v>
      </c>
      <c r="B237" s="5" t="s">
        <v>90</v>
      </c>
      <c r="C237" s="5" t="s">
        <v>151</v>
      </c>
      <c r="D237" s="5" t="n">
        <f aca="false">COUNTIFS('Pickup log'!$K$2:$K$225,A237,'Pickup log'!$D$2:$D$225,B237,'Pickup log'!$G$2:$G$225,C237)</f>
        <v>0</v>
      </c>
      <c r="E237" s="5" t="n">
        <f aca="false">IF(D237=0,0,_xlfn.MAXIFS('Pickup log'!$H$2:$H$225,'Pickup log'!$K$2:$K$225,A237,'Pickup log'!$D$2:$D$225,B237,'Pickup log'!$G$2:$G$225,C237))</f>
        <v>0</v>
      </c>
      <c r="F237" s="5" t="n">
        <f aca="false">IF(D237=0,0,2*E237+Notes!$B$25*(D237-1))</f>
        <v>0</v>
      </c>
      <c r="G237" s="14" t="n">
        <f aca="false">IF(C237="Matador",F237/Notes!$B$21*Notes!$B$22,F237/Notes!$B$23*Notes!$B$24)</f>
        <v>0</v>
      </c>
      <c r="H237" s="5" t="n">
        <f aca="false">COUNTIFS('Pickup log'!$K$2:$K$225,A237,'Pickup log'!$D$2:$D$225,B237,'Pickup log'!$G$2:$G$225,C237,'Pickup log'!$E$2:$E$225,"Economy")</f>
        <v>0</v>
      </c>
      <c r="I237" s="5" t="n">
        <f aca="false">IF(H237=0,0,_xlfn.MAXIFS('Pickup log'!$H$2:$H$225,'Pickup log'!$K$2:$K$225,A237,'Pickup log'!$D$2:$D$225,B237,'Pickup log'!$G$2:$G$225,C237,'Pickup log'!$E$2:$E$225,"Economy"))</f>
        <v>0</v>
      </c>
      <c r="J237" s="5" t="n">
        <f aca="false">IF(H237=0,0,2*I237+Notes!$B$25*(H237-1))</f>
        <v>0</v>
      </c>
      <c r="K237" s="14" t="n">
        <f aca="false">IF(C237="Matador",J237/Notes!$B$21*Notes!$B$22,J237/Notes!$B$23*Notes!$B$24)</f>
        <v>0</v>
      </c>
    </row>
    <row r="238" customFormat="false" ht="15" hidden="false" customHeight="false" outlineLevel="0" collapsed="false">
      <c r="A238" s="12" t="n">
        <v>45444</v>
      </c>
      <c r="B238" s="5" t="s">
        <v>101</v>
      </c>
      <c r="C238" s="5" t="s">
        <v>150</v>
      </c>
      <c r="D238" s="5" t="n">
        <f aca="false">COUNTIFS('Pickup log'!$K$2:$K$225,A238,'Pickup log'!$D$2:$D$225,B238,'Pickup log'!$G$2:$G$225,C238)</f>
        <v>0</v>
      </c>
      <c r="E238" s="5" t="n">
        <f aca="false">IF(D238=0,0,_xlfn.MAXIFS('Pickup log'!$H$2:$H$225,'Pickup log'!$K$2:$K$225,A238,'Pickup log'!$D$2:$D$225,B238,'Pickup log'!$G$2:$G$225,C238))</f>
        <v>0</v>
      </c>
      <c r="F238" s="5" t="n">
        <f aca="false">IF(D238=0,0,2*E238+Notes!$B$25*(D238-1))</f>
        <v>0</v>
      </c>
      <c r="G238" s="14" t="n">
        <f aca="false">IF(C238="Matador",F238/Notes!$B$21*Notes!$B$22,F238/Notes!$B$23*Notes!$B$24)</f>
        <v>0</v>
      </c>
      <c r="H238" s="5" t="n">
        <f aca="false">COUNTIFS('Pickup log'!$K$2:$K$225,A238,'Pickup log'!$D$2:$D$225,B238,'Pickup log'!$G$2:$G$225,C238,'Pickup log'!$E$2:$E$225,"Economy")</f>
        <v>0</v>
      </c>
      <c r="I238" s="5" t="n">
        <f aca="false">IF(H238=0,0,_xlfn.MAXIFS('Pickup log'!$H$2:$H$225,'Pickup log'!$K$2:$K$225,A238,'Pickup log'!$D$2:$D$225,B238,'Pickup log'!$G$2:$G$225,C238,'Pickup log'!$E$2:$E$225,"Economy"))</f>
        <v>0</v>
      </c>
      <c r="J238" s="5" t="n">
        <f aca="false">IF(H238=0,0,2*I238+Notes!$B$25*(H238-1))</f>
        <v>0</v>
      </c>
      <c r="K238" s="14" t="n">
        <f aca="false">IF(C238="Matador",J238/Notes!$B$21*Notes!$B$22,J238/Notes!$B$23*Notes!$B$24)</f>
        <v>0</v>
      </c>
    </row>
    <row r="239" customFormat="false" ht="15" hidden="false" customHeight="false" outlineLevel="0" collapsed="false">
      <c r="A239" s="12" t="n">
        <v>45444</v>
      </c>
      <c r="B239" s="5" t="s">
        <v>101</v>
      </c>
      <c r="C239" s="5" t="s">
        <v>151</v>
      </c>
      <c r="D239" s="5" t="n">
        <f aca="false">COUNTIFS('Pickup log'!$K$2:$K$225,A239,'Pickup log'!$D$2:$D$225,B239,'Pickup log'!$G$2:$G$225,C239)</f>
        <v>1</v>
      </c>
      <c r="E239" s="5" t="n">
        <f aca="false">IF(D239=0,0,_xlfn.MAXIFS('Pickup log'!$H$2:$H$225,'Pickup log'!$K$2:$K$225,A239,'Pickup log'!$D$2:$D$225,B239,'Pickup log'!$G$2:$G$225,C239))</f>
        <v>11</v>
      </c>
      <c r="F239" s="5" t="n">
        <f aca="false">IF(D239=0,0,2*E239+Notes!$B$25*(D239-1))</f>
        <v>22</v>
      </c>
      <c r="G239" s="14" t="n">
        <f aca="false">IF(C239="Matador",F239/Notes!$B$21*Notes!$B$22,F239/Notes!$B$23*Notes!$B$24)</f>
        <v>118.15375</v>
      </c>
      <c r="H239" s="5" t="n">
        <f aca="false">COUNTIFS('Pickup log'!$K$2:$K$225,A239,'Pickup log'!$D$2:$D$225,B239,'Pickup log'!$G$2:$G$225,C239,'Pickup log'!$E$2:$E$225,"Economy")</f>
        <v>1</v>
      </c>
      <c r="I239" s="5" t="n">
        <f aca="false">IF(H239=0,0,_xlfn.MAXIFS('Pickup log'!$H$2:$H$225,'Pickup log'!$K$2:$K$225,A239,'Pickup log'!$D$2:$D$225,B239,'Pickup log'!$G$2:$G$225,C239,'Pickup log'!$E$2:$E$225,"Economy"))</f>
        <v>11</v>
      </c>
      <c r="J239" s="5" t="n">
        <f aca="false">IF(H239=0,0,2*I239+Notes!$B$25*(H239-1))</f>
        <v>22</v>
      </c>
      <c r="K239" s="14" t="n">
        <f aca="false">IF(C239="Matador",J239/Notes!$B$21*Notes!$B$22,J239/Notes!$B$23*Notes!$B$24)</f>
        <v>118.15375</v>
      </c>
    </row>
    <row r="240" customFormat="false" ht="15" hidden="false" customHeight="false" outlineLevel="0" collapsed="false">
      <c r="A240" s="12" t="n">
        <v>45444</v>
      </c>
      <c r="B240" s="5" t="s">
        <v>114</v>
      </c>
      <c r="C240" s="5" t="s">
        <v>150</v>
      </c>
      <c r="D240" s="5" t="n">
        <f aca="false">COUNTIFS('Pickup log'!$K$2:$K$225,A240,'Pickup log'!$D$2:$D$225,B240,'Pickup log'!$G$2:$G$225,C240)</f>
        <v>0</v>
      </c>
      <c r="E240" s="5" t="n">
        <f aca="false">IF(D240=0,0,_xlfn.MAXIFS('Pickup log'!$H$2:$H$225,'Pickup log'!$K$2:$K$225,A240,'Pickup log'!$D$2:$D$225,B240,'Pickup log'!$G$2:$G$225,C240))</f>
        <v>0</v>
      </c>
      <c r="F240" s="5" t="n">
        <f aca="false">IF(D240=0,0,2*E240+Notes!$B$25*(D240-1))</f>
        <v>0</v>
      </c>
      <c r="G240" s="14" t="n">
        <f aca="false">IF(C240="Matador",F240/Notes!$B$21*Notes!$B$22,F240/Notes!$B$23*Notes!$B$24)</f>
        <v>0</v>
      </c>
      <c r="H240" s="5" t="n">
        <f aca="false">COUNTIFS('Pickup log'!$K$2:$K$225,A240,'Pickup log'!$D$2:$D$225,B240,'Pickup log'!$G$2:$G$225,C240,'Pickup log'!$E$2:$E$225,"Economy")</f>
        <v>0</v>
      </c>
      <c r="I240" s="5" t="n">
        <f aca="false">IF(H240=0,0,_xlfn.MAXIFS('Pickup log'!$H$2:$H$225,'Pickup log'!$K$2:$K$225,A240,'Pickup log'!$D$2:$D$225,B240,'Pickup log'!$G$2:$G$225,C240,'Pickup log'!$E$2:$E$225,"Economy"))</f>
        <v>0</v>
      </c>
      <c r="J240" s="5" t="n">
        <f aca="false">IF(H240=0,0,2*I240+Notes!$B$25*(H240-1))</f>
        <v>0</v>
      </c>
      <c r="K240" s="14" t="n">
        <f aca="false">IF(C240="Matador",J240/Notes!$B$21*Notes!$B$22,J240/Notes!$B$23*Notes!$B$24)</f>
        <v>0</v>
      </c>
    </row>
    <row r="241" customFormat="false" ht="15" hidden="false" customHeight="false" outlineLevel="0" collapsed="false">
      <c r="A241" s="12" t="n">
        <v>45444</v>
      </c>
      <c r="B241" s="5" t="s">
        <v>114</v>
      </c>
      <c r="C241" s="5" t="s">
        <v>151</v>
      </c>
      <c r="D241" s="5" t="n">
        <f aca="false">COUNTIFS('Pickup log'!$K$2:$K$225,A241,'Pickup log'!$D$2:$D$225,B241,'Pickup log'!$G$2:$G$225,C241)</f>
        <v>0</v>
      </c>
      <c r="E241" s="5" t="n">
        <f aca="false">IF(D241=0,0,_xlfn.MAXIFS('Pickup log'!$H$2:$H$225,'Pickup log'!$K$2:$K$225,A241,'Pickup log'!$D$2:$D$225,B241,'Pickup log'!$G$2:$G$225,C241))</f>
        <v>0</v>
      </c>
      <c r="F241" s="5" t="n">
        <f aca="false">IF(D241=0,0,2*E241+Notes!$B$25*(D241-1))</f>
        <v>0</v>
      </c>
      <c r="G241" s="14" t="n">
        <f aca="false">IF(C241="Matador",F241/Notes!$B$21*Notes!$B$22,F241/Notes!$B$23*Notes!$B$24)</f>
        <v>0</v>
      </c>
      <c r="H241" s="5" t="n">
        <f aca="false">COUNTIFS('Pickup log'!$K$2:$K$225,A241,'Pickup log'!$D$2:$D$225,B241,'Pickup log'!$G$2:$G$225,C241,'Pickup log'!$E$2:$E$225,"Economy")</f>
        <v>0</v>
      </c>
      <c r="I241" s="5" t="n">
        <f aca="false">IF(H241=0,0,_xlfn.MAXIFS('Pickup log'!$H$2:$H$225,'Pickup log'!$K$2:$K$225,A241,'Pickup log'!$D$2:$D$225,B241,'Pickup log'!$G$2:$G$225,C241,'Pickup log'!$E$2:$E$225,"Economy"))</f>
        <v>0</v>
      </c>
      <c r="J241" s="5" t="n">
        <f aca="false">IF(H241=0,0,2*I241+Notes!$B$25*(H241-1))</f>
        <v>0</v>
      </c>
      <c r="K241" s="14" t="n">
        <f aca="false">IF(C241="Matador",J241/Notes!$B$21*Notes!$B$22,J241/Notes!$B$23*Notes!$B$24)</f>
        <v>0</v>
      </c>
    </row>
    <row r="242" customFormat="false" ht="15" hidden="false" customHeight="false" outlineLevel="0" collapsed="false">
      <c r="A242" s="12" t="n">
        <v>45446</v>
      </c>
      <c r="B242" s="5" t="s">
        <v>56</v>
      </c>
      <c r="C242" s="5" t="s">
        <v>150</v>
      </c>
      <c r="D242" s="5" t="n">
        <f aca="false">COUNTIFS('Pickup log'!$K$2:$K$225,A242,'Pickup log'!$D$2:$D$225,B242,'Pickup log'!$G$2:$G$225,C242)</f>
        <v>0</v>
      </c>
      <c r="E242" s="5" t="n">
        <f aca="false">IF(D242=0,0,_xlfn.MAXIFS('Pickup log'!$H$2:$H$225,'Pickup log'!$K$2:$K$225,A242,'Pickup log'!$D$2:$D$225,B242,'Pickup log'!$G$2:$G$225,C242))</f>
        <v>0</v>
      </c>
      <c r="F242" s="5" t="n">
        <f aca="false">IF(D242=0,0,2*E242+Notes!$B$25*(D242-1))</f>
        <v>0</v>
      </c>
      <c r="G242" s="14" t="n">
        <f aca="false">IF(C242="Matador",F242/Notes!$B$21*Notes!$B$22,F242/Notes!$B$23*Notes!$B$24)</f>
        <v>0</v>
      </c>
      <c r="H242" s="5" t="n">
        <f aca="false">COUNTIFS('Pickup log'!$K$2:$K$225,A242,'Pickup log'!$D$2:$D$225,B242,'Pickup log'!$G$2:$G$225,C242,'Pickup log'!$E$2:$E$225,"Economy")</f>
        <v>0</v>
      </c>
      <c r="I242" s="5" t="n">
        <f aca="false">IF(H242=0,0,_xlfn.MAXIFS('Pickup log'!$H$2:$H$225,'Pickup log'!$K$2:$K$225,A242,'Pickup log'!$D$2:$D$225,B242,'Pickup log'!$G$2:$G$225,C242,'Pickup log'!$E$2:$E$225,"Economy"))</f>
        <v>0</v>
      </c>
      <c r="J242" s="5" t="n">
        <f aca="false">IF(H242=0,0,2*I242+Notes!$B$25*(H242-1))</f>
        <v>0</v>
      </c>
      <c r="K242" s="14" t="n">
        <f aca="false">IF(C242="Matador",J242/Notes!$B$21*Notes!$B$22,J242/Notes!$B$23*Notes!$B$24)</f>
        <v>0</v>
      </c>
    </row>
    <row r="243" customFormat="false" ht="15" hidden="false" customHeight="false" outlineLevel="0" collapsed="false">
      <c r="A243" s="12" t="n">
        <v>45446</v>
      </c>
      <c r="B243" s="5" t="s">
        <v>56</v>
      </c>
      <c r="C243" s="5" t="s">
        <v>151</v>
      </c>
      <c r="D243" s="5" t="n">
        <f aca="false">COUNTIFS('Pickup log'!$K$2:$K$225,A243,'Pickup log'!$D$2:$D$225,B243,'Pickup log'!$G$2:$G$225,C243)</f>
        <v>0</v>
      </c>
      <c r="E243" s="5" t="n">
        <f aca="false">IF(D243=0,0,_xlfn.MAXIFS('Pickup log'!$H$2:$H$225,'Pickup log'!$K$2:$K$225,A243,'Pickup log'!$D$2:$D$225,B243,'Pickup log'!$G$2:$G$225,C243))</f>
        <v>0</v>
      </c>
      <c r="F243" s="5" t="n">
        <f aca="false">IF(D243=0,0,2*E243+Notes!$B$25*(D243-1))</f>
        <v>0</v>
      </c>
      <c r="G243" s="14" t="n">
        <f aca="false">IF(C243="Matador",F243/Notes!$B$21*Notes!$B$22,F243/Notes!$B$23*Notes!$B$24)</f>
        <v>0</v>
      </c>
      <c r="H243" s="5" t="n">
        <f aca="false">COUNTIFS('Pickup log'!$K$2:$K$225,A243,'Pickup log'!$D$2:$D$225,B243,'Pickup log'!$G$2:$G$225,C243,'Pickup log'!$E$2:$E$225,"Economy")</f>
        <v>0</v>
      </c>
      <c r="I243" s="5" t="n">
        <f aca="false">IF(H243=0,0,_xlfn.MAXIFS('Pickup log'!$H$2:$H$225,'Pickup log'!$K$2:$K$225,A243,'Pickup log'!$D$2:$D$225,B243,'Pickup log'!$G$2:$G$225,C243,'Pickup log'!$E$2:$E$225,"Economy"))</f>
        <v>0</v>
      </c>
      <c r="J243" s="5" t="n">
        <f aca="false">IF(H243=0,0,2*I243+Notes!$B$25*(H243-1))</f>
        <v>0</v>
      </c>
      <c r="K243" s="14" t="n">
        <f aca="false">IF(C243="Matador",J243/Notes!$B$21*Notes!$B$22,J243/Notes!$B$23*Notes!$B$24)</f>
        <v>0</v>
      </c>
    </row>
    <row r="244" customFormat="false" ht="15" hidden="false" customHeight="false" outlineLevel="0" collapsed="false">
      <c r="A244" s="12" t="n">
        <v>45446</v>
      </c>
      <c r="B244" s="5" t="s">
        <v>73</v>
      </c>
      <c r="C244" s="5" t="s">
        <v>150</v>
      </c>
      <c r="D244" s="5" t="n">
        <f aca="false">COUNTIFS('Pickup log'!$K$2:$K$225,A244,'Pickup log'!$D$2:$D$225,B244,'Pickup log'!$G$2:$G$225,C244)</f>
        <v>0</v>
      </c>
      <c r="E244" s="5" t="n">
        <f aca="false">IF(D244=0,0,_xlfn.MAXIFS('Pickup log'!$H$2:$H$225,'Pickup log'!$K$2:$K$225,A244,'Pickup log'!$D$2:$D$225,B244,'Pickup log'!$G$2:$G$225,C244))</f>
        <v>0</v>
      </c>
      <c r="F244" s="5" t="n">
        <f aca="false">IF(D244=0,0,2*E244+Notes!$B$25*(D244-1))</f>
        <v>0</v>
      </c>
      <c r="G244" s="14" t="n">
        <f aca="false">IF(C244="Matador",F244/Notes!$B$21*Notes!$B$22,F244/Notes!$B$23*Notes!$B$24)</f>
        <v>0</v>
      </c>
      <c r="H244" s="5" t="n">
        <f aca="false">COUNTIFS('Pickup log'!$K$2:$K$225,A244,'Pickup log'!$D$2:$D$225,B244,'Pickup log'!$G$2:$G$225,C244,'Pickup log'!$E$2:$E$225,"Economy")</f>
        <v>0</v>
      </c>
      <c r="I244" s="5" t="n">
        <f aca="false">IF(H244=0,0,_xlfn.MAXIFS('Pickup log'!$H$2:$H$225,'Pickup log'!$K$2:$K$225,A244,'Pickup log'!$D$2:$D$225,B244,'Pickup log'!$G$2:$G$225,C244,'Pickup log'!$E$2:$E$225,"Economy"))</f>
        <v>0</v>
      </c>
      <c r="J244" s="5" t="n">
        <f aca="false">IF(H244=0,0,2*I244+Notes!$B$25*(H244-1))</f>
        <v>0</v>
      </c>
      <c r="K244" s="14" t="n">
        <f aca="false">IF(C244="Matador",J244/Notes!$B$21*Notes!$B$22,J244/Notes!$B$23*Notes!$B$24)</f>
        <v>0</v>
      </c>
    </row>
    <row r="245" customFormat="false" ht="15" hidden="false" customHeight="false" outlineLevel="0" collapsed="false">
      <c r="A245" s="12" t="n">
        <v>45446</v>
      </c>
      <c r="B245" s="5" t="s">
        <v>73</v>
      </c>
      <c r="C245" s="5" t="s">
        <v>151</v>
      </c>
      <c r="D245" s="5" t="n">
        <f aca="false">COUNTIFS('Pickup log'!$K$2:$K$225,A245,'Pickup log'!$D$2:$D$225,B245,'Pickup log'!$G$2:$G$225,C245)</f>
        <v>1</v>
      </c>
      <c r="E245" s="5" t="n">
        <f aca="false">IF(D245=0,0,_xlfn.MAXIFS('Pickup log'!$H$2:$H$225,'Pickup log'!$K$2:$K$225,A245,'Pickup log'!$D$2:$D$225,B245,'Pickup log'!$G$2:$G$225,C245))</f>
        <v>2.5</v>
      </c>
      <c r="F245" s="5" t="n">
        <f aca="false">IF(D245=0,0,2*E245+Notes!$B$25*(D245-1))</f>
        <v>5</v>
      </c>
      <c r="G245" s="14" t="n">
        <f aca="false">IF(C245="Matador",F245/Notes!$B$21*Notes!$B$22,F245/Notes!$B$23*Notes!$B$24)</f>
        <v>26.853125</v>
      </c>
      <c r="H245" s="5" t="n">
        <f aca="false">COUNTIFS('Pickup log'!$K$2:$K$225,A245,'Pickup log'!$D$2:$D$225,B245,'Pickup log'!$G$2:$G$225,C245,'Pickup log'!$E$2:$E$225,"Economy")</f>
        <v>1</v>
      </c>
      <c r="I245" s="5" t="n">
        <f aca="false">IF(H245=0,0,_xlfn.MAXIFS('Pickup log'!$H$2:$H$225,'Pickup log'!$K$2:$K$225,A245,'Pickup log'!$D$2:$D$225,B245,'Pickup log'!$G$2:$G$225,C245,'Pickup log'!$E$2:$E$225,"Economy"))</f>
        <v>2.5</v>
      </c>
      <c r="J245" s="5" t="n">
        <f aca="false">IF(H245=0,0,2*I245+Notes!$B$25*(H245-1))</f>
        <v>5</v>
      </c>
      <c r="K245" s="14" t="n">
        <f aca="false">IF(C245="Matador",J245/Notes!$B$21*Notes!$B$22,J245/Notes!$B$23*Notes!$B$24)</f>
        <v>26.853125</v>
      </c>
    </row>
    <row r="246" customFormat="false" ht="15" hidden="false" customHeight="false" outlineLevel="0" collapsed="false">
      <c r="A246" s="12" t="n">
        <v>45446</v>
      </c>
      <c r="B246" s="5" t="s">
        <v>90</v>
      </c>
      <c r="C246" s="5" t="s">
        <v>150</v>
      </c>
      <c r="D246" s="5" t="n">
        <f aca="false">COUNTIFS('Pickup log'!$K$2:$K$225,A246,'Pickup log'!$D$2:$D$225,B246,'Pickup log'!$G$2:$G$225,C246)</f>
        <v>2</v>
      </c>
      <c r="E246" s="5" t="n">
        <f aca="false">IF(D246=0,0,_xlfn.MAXIFS('Pickup log'!$H$2:$H$225,'Pickup log'!$K$2:$K$225,A246,'Pickup log'!$D$2:$D$225,B246,'Pickup log'!$G$2:$G$225,C246))</f>
        <v>9</v>
      </c>
      <c r="F246" s="5" t="n">
        <f aca="false">IF(D246=0,0,2*E246+Notes!$B$25*(D246-1))</f>
        <v>20</v>
      </c>
      <c r="G246" s="14" t="n">
        <f aca="false">IF(C246="Matador",F246/Notes!$B$21*Notes!$B$22,F246/Notes!$B$23*Notes!$B$24)</f>
        <v>44.3733333333333</v>
      </c>
      <c r="H246" s="5" t="n">
        <f aca="false">COUNTIFS('Pickup log'!$K$2:$K$225,A246,'Pickup log'!$D$2:$D$225,B246,'Pickup log'!$G$2:$G$225,C246,'Pickup log'!$E$2:$E$225,"Economy")</f>
        <v>1</v>
      </c>
      <c r="I246" s="5" t="n">
        <f aca="false">IF(H246=0,0,_xlfn.MAXIFS('Pickup log'!$H$2:$H$225,'Pickup log'!$K$2:$K$225,A246,'Pickup log'!$D$2:$D$225,B246,'Pickup log'!$G$2:$G$225,C246,'Pickup log'!$E$2:$E$225,"Economy"))</f>
        <v>9</v>
      </c>
      <c r="J246" s="5" t="n">
        <f aca="false">IF(H246=0,0,2*I246+Notes!$B$25*(H246-1))</f>
        <v>18</v>
      </c>
      <c r="K246" s="14" t="n">
        <f aca="false">IF(C246="Matador",J246/Notes!$B$21*Notes!$B$22,J246/Notes!$B$23*Notes!$B$24)</f>
        <v>39.936</v>
      </c>
    </row>
    <row r="247" customFormat="false" ht="15" hidden="false" customHeight="false" outlineLevel="0" collapsed="false">
      <c r="A247" s="12" t="n">
        <v>45446</v>
      </c>
      <c r="B247" s="5" t="s">
        <v>90</v>
      </c>
      <c r="C247" s="5" t="s">
        <v>151</v>
      </c>
      <c r="D247" s="5" t="n">
        <f aca="false">COUNTIFS('Pickup log'!$K$2:$K$225,A247,'Pickup log'!$D$2:$D$225,B247,'Pickup log'!$G$2:$G$225,C247)</f>
        <v>0</v>
      </c>
      <c r="E247" s="5" t="n">
        <f aca="false">IF(D247=0,0,_xlfn.MAXIFS('Pickup log'!$H$2:$H$225,'Pickup log'!$K$2:$K$225,A247,'Pickup log'!$D$2:$D$225,B247,'Pickup log'!$G$2:$G$225,C247))</f>
        <v>0</v>
      </c>
      <c r="F247" s="5" t="n">
        <f aca="false">IF(D247=0,0,2*E247+Notes!$B$25*(D247-1))</f>
        <v>0</v>
      </c>
      <c r="G247" s="14" t="n">
        <f aca="false">IF(C247="Matador",F247/Notes!$B$21*Notes!$B$22,F247/Notes!$B$23*Notes!$B$24)</f>
        <v>0</v>
      </c>
      <c r="H247" s="5" t="n">
        <f aca="false">COUNTIFS('Pickup log'!$K$2:$K$225,A247,'Pickup log'!$D$2:$D$225,B247,'Pickup log'!$G$2:$G$225,C247,'Pickup log'!$E$2:$E$225,"Economy")</f>
        <v>0</v>
      </c>
      <c r="I247" s="5" t="n">
        <f aca="false">IF(H247=0,0,_xlfn.MAXIFS('Pickup log'!$H$2:$H$225,'Pickup log'!$K$2:$K$225,A247,'Pickup log'!$D$2:$D$225,B247,'Pickup log'!$G$2:$G$225,C247,'Pickup log'!$E$2:$E$225,"Economy"))</f>
        <v>0</v>
      </c>
      <c r="J247" s="5" t="n">
        <f aca="false">IF(H247=0,0,2*I247+Notes!$B$25*(H247-1))</f>
        <v>0</v>
      </c>
      <c r="K247" s="14" t="n">
        <f aca="false">IF(C247="Matador",J247/Notes!$B$21*Notes!$B$22,J247/Notes!$B$23*Notes!$B$24)</f>
        <v>0</v>
      </c>
    </row>
    <row r="248" customFormat="false" ht="15" hidden="false" customHeight="false" outlineLevel="0" collapsed="false">
      <c r="A248" s="12" t="n">
        <v>45446</v>
      </c>
      <c r="B248" s="5" t="s">
        <v>101</v>
      </c>
      <c r="C248" s="5" t="s">
        <v>150</v>
      </c>
      <c r="D248" s="5" t="n">
        <f aca="false">COUNTIFS('Pickup log'!$K$2:$K$225,A248,'Pickup log'!$D$2:$D$225,B248,'Pickup log'!$G$2:$G$225,C248)</f>
        <v>0</v>
      </c>
      <c r="E248" s="5" t="n">
        <f aca="false">IF(D248=0,0,_xlfn.MAXIFS('Pickup log'!$H$2:$H$225,'Pickup log'!$K$2:$K$225,A248,'Pickup log'!$D$2:$D$225,B248,'Pickup log'!$G$2:$G$225,C248))</f>
        <v>0</v>
      </c>
      <c r="F248" s="5" t="n">
        <f aca="false">IF(D248=0,0,2*E248+Notes!$B$25*(D248-1))</f>
        <v>0</v>
      </c>
      <c r="G248" s="14" t="n">
        <f aca="false">IF(C248="Matador",F248/Notes!$B$21*Notes!$B$22,F248/Notes!$B$23*Notes!$B$24)</f>
        <v>0</v>
      </c>
      <c r="H248" s="5" t="n">
        <f aca="false">COUNTIFS('Pickup log'!$K$2:$K$225,A248,'Pickup log'!$D$2:$D$225,B248,'Pickup log'!$G$2:$G$225,C248,'Pickup log'!$E$2:$E$225,"Economy")</f>
        <v>0</v>
      </c>
      <c r="I248" s="5" t="n">
        <f aca="false">IF(H248=0,0,_xlfn.MAXIFS('Pickup log'!$H$2:$H$225,'Pickup log'!$K$2:$K$225,A248,'Pickup log'!$D$2:$D$225,B248,'Pickup log'!$G$2:$G$225,C248,'Pickup log'!$E$2:$E$225,"Economy"))</f>
        <v>0</v>
      </c>
      <c r="J248" s="5" t="n">
        <f aca="false">IF(H248=0,0,2*I248+Notes!$B$25*(H248-1))</f>
        <v>0</v>
      </c>
      <c r="K248" s="14" t="n">
        <f aca="false">IF(C248="Matador",J248/Notes!$B$21*Notes!$B$22,J248/Notes!$B$23*Notes!$B$24)</f>
        <v>0</v>
      </c>
    </row>
    <row r="249" customFormat="false" ht="15" hidden="false" customHeight="false" outlineLevel="0" collapsed="false">
      <c r="A249" s="12" t="n">
        <v>45446</v>
      </c>
      <c r="B249" s="5" t="s">
        <v>101</v>
      </c>
      <c r="C249" s="5" t="s">
        <v>151</v>
      </c>
      <c r="D249" s="5" t="n">
        <f aca="false">COUNTIFS('Pickup log'!$K$2:$K$225,A249,'Pickup log'!$D$2:$D$225,B249,'Pickup log'!$G$2:$G$225,C249)</f>
        <v>1</v>
      </c>
      <c r="E249" s="5" t="n">
        <f aca="false">IF(D249=0,0,_xlfn.MAXIFS('Pickup log'!$H$2:$H$225,'Pickup log'!$K$2:$K$225,A249,'Pickup log'!$D$2:$D$225,B249,'Pickup log'!$G$2:$G$225,C249))</f>
        <v>12.5</v>
      </c>
      <c r="F249" s="5" t="n">
        <f aca="false">IF(D249=0,0,2*E249+Notes!$B$25*(D249-1))</f>
        <v>25</v>
      </c>
      <c r="G249" s="14" t="n">
        <f aca="false">IF(C249="Matador",F249/Notes!$B$21*Notes!$B$22,F249/Notes!$B$23*Notes!$B$24)</f>
        <v>134.265625</v>
      </c>
      <c r="H249" s="5" t="n">
        <f aca="false">COUNTIFS('Pickup log'!$K$2:$K$225,A249,'Pickup log'!$D$2:$D$225,B249,'Pickup log'!$G$2:$G$225,C249,'Pickup log'!$E$2:$E$225,"Economy")</f>
        <v>0</v>
      </c>
      <c r="I249" s="5" t="n">
        <f aca="false">IF(H249=0,0,_xlfn.MAXIFS('Pickup log'!$H$2:$H$225,'Pickup log'!$K$2:$K$225,A249,'Pickup log'!$D$2:$D$225,B249,'Pickup log'!$G$2:$G$225,C249,'Pickup log'!$E$2:$E$225,"Economy"))</f>
        <v>0</v>
      </c>
      <c r="J249" s="5" t="n">
        <f aca="false">IF(H249=0,0,2*I249+Notes!$B$25*(H249-1))</f>
        <v>0</v>
      </c>
      <c r="K249" s="14" t="n">
        <f aca="false">IF(C249="Matador",J249/Notes!$B$21*Notes!$B$22,J249/Notes!$B$23*Notes!$B$24)</f>
        <v>0</v>
      </c>
    </row>
    <row r="250" customFormat="false" ht="15" hidden="false" customHeight="false" outlineLevel="0" collapsed="false">
      <c r="A250" s="12" t="n">
        <v>45446</v>
      </c>
      <c r="B250" s="5" t="s">
        <v>114</v>
      </c>
      <c r="C250" s="5" t="s">
        <v>150</v>
      </c>
      <c r="D250" s="5" t="n">
        <f aca="false">COUNTIFS('Pickup log'!$K$2:$K$225,A250,'Pickup log'!$D$2:$D$225,B250,'Pickup log'!$G$2:$G$225,C250)</f>
        <v>0</v>
      </c>
      <c r="E250" s="5" t="n">
        <f aca="false">IF(D250=0,0,_xlfn.MAXIFS('Pickup log'!$H$2:$H$225,'Pickup log'!$K$2:$K$225,A250,'Pickup log'!$D$2:$D$225,B250,'Pickup log'!$G$2:$G$225,C250))</f>
        <v>0</v>
      </c>
      <c r="F250" s="5" t="n">
        <f aca="false">IF(D250=0,0,2*E250+Notes!$B$25*(D250-1))</f>
        <v>0</v>
      </c>
      <c r="G250" s="14" t="n">
        <f aca="false">IF(C250="Matador",F250/Notes!$B$21*Notes!$B$22,F250/Notes!$B$23*Notes!$B$24)</f>
        <v>0</v>
      </c>
      <c r="H250" s="5" t="n">
        <f aca="false">COUNTIFS('Pickup log'!$K$2:$K$225,A250,'Pickup log'!$D$2:$D$225,B250,'Pickup log'!$G$2:$G$225,C250,'Pickup log'!$E$2:$E$225,"Economy")</f>
        <v>0</v>
      </c>
      <c r="I250" s="5" t="n">
        <f aca="false">IF(H250=0,0,_xlfn.MAXIFS('Pickup log'!$H$2:$H$225,'Pickup log'!$K$2:$K$225,A250,'Pickup log'!$D$2:$D$225,B250,'Pickup log'!$G$2:$G$225,C250,'Pickup log'!$E$2:$E$225,"Economy"))</f>
        <v>0</v>
      </c>
      <c r="J250" s="5" t="n">
        <f aca="false">IF(H250=0,0,2*I250+Notes!$B$25*(H250-1))</f>
        <v>0</v>
      </c>
      <c r="K250" s="14" t="n">
        <f aca="false">IF(C250="Matador",J250/Notes!$B$21*Notes!$B$22,J250/Notes!$B$23*Notes!$B$24)</f>
        <v>0</v>
      </c>
    </row>
    <row r="251" customFormat="false" ht="15" hidden="false" customHeight="false" outlineLevel="0" collapsed="false">
      <c r="A251" s="12" t="n">
        <v>45446</v>
      </c>
      <c r="B251" s="5" t="s">
        <v>114</v>
      </c>
      <c r="C251" s="5" t="s">
        <v>151</v>
      </c>
      <c r="D251" s="5" t="n">
        <f aca="false">COUNTIFS('Pickup log'!$K$2:$K$225,A251,'Pickup log'!$D$2:$D$225,B251,'Pickup log'!$G$2:$G$225,C251)</f>
        <v>0</v>
      </c>
      <c r="E251" s="5" t="n">
        <f aca="false">IF(D251=0,0,_xlfn.MAXIFS('Pickup log'!$H$2:$H$225,'Pickup log'!$K$2:$K$225,A251,'Pickup log'!$D$2:$D$225,B251,'Pickup log'!$G$2:$G$225,C251))</f>
        <v>0</v>
      </c>
      <c r="F251" s="5" t="n">
        <f aca="false">IF(D251=0,0,2*E251+Notes!$B$25*(D251-1))</f>
        <v>0</v>
      </c>
      <c r="G251" s="14" t="n">
        <f aca="false">IF(C251="Matador",F251/Notes!$B$21*Notes!$B$22,F251/Notes!$B$23*Notes!$B$24)</f>
        <v>0</v>
      </c>
      <c r="H251" s="5" t="n">
        <f aca="false">COUNTIFS('Pickup log'!$K$2:$K$225,A251,'Pickup log'!$D$2:$D$225,B251,'Pickup log'!$G$2:$G$225,C251,'Pickup log'!$E$2:$E$225,"Economy")</f>
        <v>0</v>
      </c>
      <c r="I251" s="5" t="n">
        <f aca="false">IF(H251=0,0,_xlfn.MAXIFS('Pickup log'!$H$2:$H$225,'Pickup log'!$K$2:$K$225,A251,'Pickup log'!$D$2:$D$225,B251,'Pickup log'!$G$2:$G$225,C251,'Pickup log'!$E$2:$E$225,"Economy"))</f>
        <v>0</v>
      </c>
      <c r="J251" s="5" t="n">
        <f aca="false">IF(H251=0,0,2*I251+Notes!$B$25*(H251-1))</f>
        <v>0</v>
      </c>
      <c r="K251" s="14" t="n">
        <f aca="false">IF(C251="Matador",J251/Notes!$B$21*Notes!$B$22,J251/Notes!$B$23*Notes!$B$24)</f>
        <v>0</v>
      </c>
    </row>
    <row r="253" customFormat="false" ht="15" hidden="false" customHeight="false" outlineLevel="0" collapsed="false">
      <c r="A253" s="5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2026-10-23T17:36:23Z</dcterms:created>
  <dc:creator>openpyxl</dc:creator>
  <dc:description/>
  <dc:language>en-US</dc:language>
  <cp:lastModifiedBy/>
  <dcterms:modified xsi:type="dcterms:W3CDTF">2026-10-23T17:36:26Z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